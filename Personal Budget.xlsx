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Excel Projects\"/>
    </mc:Choice>
  </mc:AlternateContent>
  <bookViews>
    <workbookView xWindow="0" yWindow="0" windowWidth="11925" windowHeight="5205" activeTab="3"/>
  </bookViews>
  <sheets>
    <sheet name="Settings" sheetId="1" r:id="rId1"/>
    <sheet name="Budget Planning" sheetId="2" r:id="rId2"/>
    <sheet name="Budget Tracking" sheetId="7" r:id="rId3"/>
    <sheet name="Budget Dashboard" sheetId="3" r:id="rId4"/>
    <sheet name="Calculations" sheetId="4" state="hidden" r:id="rId5"/>
    <sheet name="Drop Down Data" sheetId="5" state="hidden" r:id="rId6"/>
  </sheets>
  <definedNames>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aining_budget" localSheetId="4">Calculations!$I1</definedName>
    <definedName name="cc_show_type" localSheetId="4">Calculations!$H1</definedName>
    <definedName name="cc_tracked" localSheetId="4">Calculations!$J1</definedName>
    <definedName name="cc_type" localSheetId="4">Calculations!$E1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Planning'!$C$37)</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Planning'!$C$22)</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items"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_xlnm.Print_Area" localSheetId="3">'Budget Dashboard'!$A$1:$CA$200</definedName>
    <definedName name="row_id" localSheetId="3">'Budget Dashboard'!$C1</definedName>
    <definedName name="Savings_header_row">ROW(Savings[[#Headers],[Savings]])</definedName>
    <definedName name="Savings_max_row">MAX(ROW(Savings[]))</definedName>
    <definedName name="Savings_min_row">MIN(ROW(Savings[]))</definedName>
    <definedName name="Savings_rate_calculation_type">Settings!$E$22</definedName>
    <definedName name="Savings_total_row">ROW('Budget Planning'!$C$51)</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3">'Budget Dashboard'!$N1</definedName>
    <definedName name="sort_min_row" localSheetId="3">'Budget Dashboard'!$M1</definedName>
    <definedName name="starting_year">Settings!$E$8</definedName>
    <definedName name="tracked" localSheetId="3">'Budget Dashboard'!$K1</definedName>
    <definedName name="tracked_range" localSheetId="3">'Budget Dashboard'!$O1</definedName>
    <definedName name="tracked_rank" localSheetId="3">'Budget Dashboard'!$P1</definedName>
    <definedName name="type" localSheetId="3">'Budget Dashboard'!$I1</definedName>
  </definedNames>
  <calcPr calcId="162913"/>
</workbook>
</file>

<file path=xl/calcChain.xml><?xml version="1.0" encoding="utf-8"?>
<calcChain xmlns="http://schemas.openxmlformats.org/spreadsheetml/2006/main">
  <c r="I59" i="4" l="1"/>
  <c r="I60" i="4"/>
  <c r="I61" i="4"/>
  <c r="I63" i="4"/>
  <c r="I64" i="4"/>
  <c r="I65" i="4"/>
  <c r="I67" i="4"/>
  <c r="I68" i="4"/>
  <c r="I69" i="4"/>
  <c r="I71" i="4"/>
  <c r="I72" i="4"/>
  <c r="I73" i="4"/>
  <c r="I75" i="4"/>
  <c r="I76" i="4"/>
  <c r="I77" i="4"/>
  <c r="I79" i="4"/>
  <c r="I80" i="4"/>
  <c r="I81" i="4"/>
  <c r="I83" i="4"/>
  <c r="I84" i="4"/>
  <c r="I85" i="4"/>
  <c r="I87" i="4"/>
  <c r="I88" i="4"/>
  <c r="I89" i="4"/>
  <c r="I91" i="4"/>
  <c r="I92" i="4"/>
  <c r="I93" i="4"/>
  <c r="I95" i="4"/>
  <c r="I96" i="4"/>
  <c r="I97" i="4"/>
  <c r="I99" i="4"/>
  <c r="I100" i="4"/>
  <c r="I101" i="4"/>
  <c r="I56" i="4"/>
  <c r="I57" i="4"/>
  <c r="I55" i="4"/>
  <c r="H101" i="4"/>
  <c r="H100" i="4"/>
  <c r="H99" i="4"/>
  <c r="H97" i="4"/>
  <c r="H96" i="4"/>
  <c r="H95" i="4"/>
  <c r="H93" i="4"/>
  <c r="H92" i="4"/>
  <c r="H91" i="4"/>
  <c r="H89" i="4"/>
  <c r="H88" i="4"/>
  <c r="H87" i="4"/>
  <c r="H85" i="4"/>
  <c r="H84" i="4"/>
  <c r="H83" i="4"/>
  <c r="H81" i="4"/>
  <c r="H80" i="4"/>
  <c r="H79" i="4"/>
  <c r="H77" i="4"/>
  <c r="H76" i="4"/>
  <c r="H75" i="4"/>
  <c r="H73" i="4"/>
  <c r="H72" i="4"/>
  <c r="H71" i="4"/>
  <c r="H69" i="4"/>
  <c r="H68" i="4"/>
  <c r="H67" i="4"/>
  <c r="H65" i="4"/>
  <c r="H64" i="4"/>
  <c r="H63" i="4"/>
  <c r="H61" i="4"/>
  <c r="H60" i="4"/>
  <c r="H59" i="4"/>
  <c r="H57" i="4"/>
  <c r="H56" i="4"/>
  <c r="H55" i="4"/>
  <c r="F38" i="4"/>
  <c r="E38" i="4" s="1"/>
  <c r="F39" i="4"/>
  <c r="E39" i="4" s="1"/>
  <c r="AP35" i="3" l="1"/>
  <c r="AI35" i="3"/>
  <c r="AI19" i="3"/>
  <c r="AI20" i="3"/>
  <c r="AI22" i="3"/>
  <c r="E9" i="4"/>
  <c r="G70" i="7"/>
  <c r="H70" i="7"/>
  <c r="G69" i="7"/>
  <c r="H69" i="7"/>
  <c r="G68" i="7"/>
  <c r="H68" i="7"/>
  <c r="G67" i="7"/>
  <c r="H67" i="7"/>
  <c r="G66" i="7"/>
  <c r="H66" i="7"/>
  <c r="G65" i="7"/>
  <c r="H65" i="7"/>
  <c r="G64" i="7"/>
  <c r="H64" i="7"/>
  <c r="G63" i="7"/>
  <c r="H63" i="7"/>
  <c r="G62" i="7"/>
  <c r="H62" i="7"/>
  <c r="G61" i="7"/>
  <c r="H61" i="7"/>
  <c r="G60" i="7"/>
  <c r="H60" i="7"/>
  <c r="G55" i="7"/>
  <c r="H55" i="7"/>
  <c r="G59" i="7"/>
  <c r="H59" i="7"/>
  <c r="G58" i="7"/>
  <c r="H58" i="7"/>
  <c r="G57" i="7"/>
  <c r="H57" i="7"/>
  <c r="G56" i="7"/>
  <c r="H56" i="7"/>
  <c r="G54" i="7"/>
  <c r="H54" i="7"/>
  <c r="G53" i="7"/>
  <c r="H53" i="7"/>
  <c r="G52" i="7"/>
  <c r="H52" i="7"/>
  <c r="G51" i="7"/>
  <c r="H51" i="7"/>
  <c r="G50" i="7"/>
  <c r="H50" i="7"/>
  <c r="G49" i="7"/>
  <c r="H49" i="7"/>
  <c r="G48" i="7"/>
  <c r="H48" i="7"/>
  <c r="G47" i="7"/>
  <c r="H47" i="7"/>
  <c r="G46" i="7"/>
  <c r="H46" i="7"/>
  <c r="G45" i="7"/>
  <c r="H45" i="7"/>
  <c r="G44" i="7"/>
  <c r="H44" i="7"/>
  <c r="G43" i="7"/>
  <c r="H43" i="7"/>
  <c r="G38" i="7"/>
  <c r="H38" i="7"/>
  <c r="G37" i="7"/>
  <c r="H37" i="7"/>
  <c r="G31" i="7"/>
  <c r="H31" i="7"/>
  <c r="G36" i="7"/>
  <c r="H36" i="7"/>
  <c r="G35" i="7"/>
  <c r="H35" i="7"/>
  <c r="G34" i="7"/>
  <c r="H34" i="7"/>
  <c r="G33" i="7"/>
  <c r="H33" i="7"/>
  <c r="G32" i="7"/>
  <c r="H32" i="7"/>
  <c r="G30" i="7"/>
  <c r="H30" i="7"/>
  <c r="G29" i="7"/>
  <c r="H29" i="7"/>
  <c r="G28" i="7"/>
  <c r="H28" i="7"/>
  <c r="G27" i="7"/>
  <c r="H27" i="7"/>
  <c r="G26" i="7"/>
  <c r="H26" i="7"/>
  <c r="G25" i="7"/>
  <c r="H25" i="7"/>
  <c r="G24" i="7"/>
  <c r="H24" i="7"/>
  <c r="G23" i="7"/>
  <c r="H23" i="7"/>
  <c r="G22" i="7"/>
  <c r="H22" i="7"/>
  <c r="G21" i="7"/>
  <c r="H21" i="7"/>
  <c r="G20" i="7"/>
  <c r="H20" i="7"/>
  <c r="G19" i="7"/>
  <c r="H19" i="7"/>
  <c r="G18" i="7"/>
  <c r="H18" i="7"/>
  <c r="G17" i="7"/>
  <c r="H17" i="7"/>
  <c r="G16" i="7"/>
  <c r="H16" i="7"/>
  <c r="G42" i="7" l="1"/>
  <c r="H42" i="7"/>
  <c r="G41" i="7"/>
  <c r="H41" i="7"/>
  <c r="G40" i="7"/>
  <c r="H40" i="7"/>
  <c r="G39" i="7"/>
  <c r="H39" i="7"/>
  <c r="L12" i="7"/>
  <c r="L13" i="7"/>
  <c r="L14" i="7" l="1"/>
  <c r="L15" i="7"/>
  <c r="K13" i="7"/>
  <c r="K14" i="7"/>
  <c r="K15" i="7"/>
  <c r="K12" i="7"/>
  <c r="J13" i="7"/>
  <c r="J14" i="7"/>
  <c r="J15" i="7"/>
  <c r="J12" i="7"/>
  <c r="C13" i="3"/>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C36" i="3" s="1"/>
  <c r="C37" i="3" s="1"/>
  <c r="C38" i="3" s="1"/>
  <c r="C39" i="3" s="1"/>
  <c r="C40" i="3" s="1"/>
  <c r="C41" i="3" s="1"/>
  <c r="C42" i="3" s="1"/>
  <c r="C43" i="3" s="1"/>
  <c r="C44" i="3" s="1"/>
  <c r="C45" i="3" s="1"/>
  <c r="C46" i="3" s="1"/>
  <c r="C47" i="3" s="1"/>
  <c r="C48" i="3" s="1"/>
  <c r="C49" i="3" s="1"/>
  <c r="C50" i="3" s="1"/>
  <c r="H50" i="3" s="1"/>
  <c r="E20" i="4"/>
  <c r="E19" i="4"/>
  <c r="C9" i="5"/>
  <c r="C10" i="5" s="1"/>
  <c r="C11" i="5" s="1"/>
  <c r="C12" i="5" s="1"/>
  <c r="C13" i="5" s="1"/>
  <c r="C14" i="5" s="1"/>
  <c r="C15" i="5" s="1"/>
  <c r="C16" i="5" s="1"/>
  <c r="C17" i="5" s="1"/>
  <c r="C18" i="5" s="1"/>
  <c r="E22" i="4" l="1"/>
  <c r="E23" i="4" s="1"/>
  <c r="E24" i="4" s="1"/>
  <c r="D99" i="4"/>
  <c r="D83" i="4"/>
  <c r="D67" i="4"/>
  <c r="D95" i="4"/>
  <c r="D79" i="4"/>
  <c r="D63" i="4"/>
  <c r="D91" i="4"/>
  <c r="D75" i="4"/>
  <c r="D59" i="4"/>
  <c r="D87" i="4"/>
  <c r="D71" i="4"/>
  <c r="D55" i="4"/>
  <c r="AD50" i="3"/>
  <c r="AC50" i="3"/>
  <c r="AB50" i="3"/>
  <c r="AA50" i="3"/>
  <c r="Y50" i="3"/>
  <c r="Z50" i="3"/>
  <c r="E40" i="3"/>
  <c r="E32" i="3"/>
  <c r="E24" i="3"/>
  <c r="E20" i="3"/>
  <c r="G50" i="3"/>
  <c r="G46" i="3"/>
  <c r="G38" i="3"/>
  <c r="G30" i="3"/>
  <c r="G22" i="3"/>
  <c r="G18" i="3"/>
  <c r="H48" i="3"/>
  <c r="H44" i="3"/>
  <c r="H40" i="3"/>
  <c r="H36" i="3"/>
  <c r="H32" i="3"/>
  <c r="H28" i="3"/>
  <c r="H24" i="3"/>
  <c r="H20" i="3"/>
  <c r="H16" i="3"/>
  <c r="J13" i="3"/>
  <c r="E13" i="3"/>
  <c r="D13" i="3" s="1"/>
  <c r="I13" i="3" s="1"/>
  <c r="E47" i="3"/>
  <c r="E43" i="3"/>
  <c r="E39" i="3"/>
  <c r="E35" i="3"/>
  <c r="E31" i="3"/>
  <c r="D31" i="3" s="1"/>
  <c r="E27" i="3"/>
  <c r="E23" i="3"/>
  <c r="E19" i="3"/>
  <c r="D19" i="3" s="1"/>
  <c r="E15" i="3"/>
  <c r="G49" i="3"/>
  <c r="G45" i="3"/>
  <c r="G41" i="3"/>
  <c r="G37" i="3"/>
  <c r="G33" i="3"/>
  <c r="G29" i="3"/>
  <c r="G25" i="3"/>
  <c r="G21" i="3"/>
  <c r="G17" i="3"/>
  <c r="H13" i="3"/>
  <c r="H47" i="3"/>
  <c r="H43" i="3"/>
  <c r="H39" i="3"/>
  <c r="H35" i="3"/>
  <c r="H31" i="3"/>
  <c r="H27" i="3"/>
  <c r="H23" i="3"/>
  <c r="H19" i="3"/>
  <c r="H15" i="3"/>
  <c r="E44" i="3"/>
  <c r="E36" i="3"/>
  <c r="E28" i="3"/>
  <c r="E16" i="3"/>
  <c r="G42" i="3"/>
  <c r="G34" i="3"/>
  <c r="G26" i="3"/>
  <c r="G14" i="3"/>
  <c r="L50" i="3"/>
  <c r="E46" i="3"/>
  <c r="E42" i="3"/>
  <c r="E38" i="3"/>
  <c r="E34" i="3"/>
  <c r="E30" i="3"/>
  <c r="E26" i="3"/>
  <c r="E22" i="3"/>
  <c r="E18" i="3"/>
  <c r="E14" i="3"/>
  <c r="G48" i="3"/>
  <c r="G44" i="3"/>
  <c r="G40" i="3"/>
  <c r="G36" i="3"/>
  <c r="F36" i="3" s="1"/>
  <c r="G32" i="3"/>
  <c r="G28" i="3"/>
  <c r="G24" i="3"/>
  <c r="G20" i="3"/>
  <c r="G16" i="3"/>
  <c r="H46" i="3"/>
  <c r="H42" i="3"/>
  <c r="H38" i="3"/>
  <c r="H34" i="3"/>
  <c r="H30" i="3"/>
  <c r="H26" i="3"/>
  <c r="H22" i="3"/>
  <c r="H18" i="3"/>
  <c r="H14" i="3"/>
  <c r="E48" i="3"/>
  <c r="L48" i="3" s="1"/>
  <c r="K49" i="3"/>
  <c r="E45" i="3"/>
  <c r="E41" i="3"/>
  <c r="E37" i="3"/>
  <c r="E33" i="3"/>
  <c r="E29" i="3"/>
  <c r="E25" i="3"/>
  <c r="E21" i="3"/>
  <c r="E17" i="3"/>
  <c r="G13" i="3"/>
  <c r="G47" i="3"/>
  <c r="F47" i="3" s="1"/>
  <c r="G43" i="3"/>
  <c r="G39" i="3"/>
  <c r="G35" i="3"/>
  <c r="G31" i="3"/>
  <c r="F31" i="3" s="1"/>
  <c r="G27" i="3"/>
  <c r="G23" i="3"/>
  <c r="G19" i="3"/>
  <c r="G15" i="3"/>
  <c r="F15" i="3" s="1"/>
  <c r="H49" i="3"/>
  <c r="H45" i="3"/>
  <c r="H41" i="3"/>
  <c r="H37" i="3"/>
  <c r="H33" i="3"/>
  <c r="H29" i="3"/>
  <c r="H25" i="3"/>
  <c r="H21" i="3"/>
  <c r="H17" i="3"/>
  <c r="D50" i="3"/>
  <c r="I50" i="3" s="1"/>
  <c r="K48" i="3"/>
  <c r="L40" i="3"/>
  <c r="D40" i="3"/>
  <c r="I40" i="3" s="1"/>
  <c r="K50" i="3"/>
  <c r="L43" i="3"/>
  <c r="D43" i="3"/>
  <c r="I43" i="3" s="1"/>
  <c r="J50" i="3"/>
  <c r="J14" i="3"/>
  <c r="J15" i="3"/>
  <c r="J45" i="3"/>
  <c r="J37" i="3"/>
  <c r="J29" i="3"/>
  <c r="J48" i="3"/>
  <c r="J40" i="3"/>
  <c r="J32" i="3"/>
  <c r="J28" i="3"/>
  <c r="J20" i="3"/>
  <c r="J16" i="3"/>
  <c r="J47" i="3"/>
  <c r="J43" i="3"/>
  <c r="J39" i="3"/>
  <c r="J35" i="3"/>
  <c r="J31" i="3"/>
  <c r="J27" i="3"/>
  <c r="J23" i="3"/>
  <c r="J19" i="3"/>
  <c r="J49" i="3"/>
  <c r="J44" i="3"/>
  <c r="J36" i="3"/>
  <c r="J24" i="3"/>
  <c r="J46" i="3"/>
  <c r="J42" i="3"/>
  <c r="J38" i="3"/>
  <c r="J34" i="3"/>
  <c r="J30" i="3"/>
  <c r="J26" i="3"/>
  <c r="J22" i="3"/>
  <c r="J18" i="3"/>
  <c r="J41" i="3"/>
  <c r="J33" i="3"/>
  <c r="J25" i="3"/>
  <c r="J21" i="3"/>
  <c r="J17" i="3"/>
  <c r="E21" i="4"/>
  <c r="AF11" i="3" s="1"/>
  <c r="E12" i="4"/>
  <c r="E11" i="4"/>
  <c r="E8" i="4"/>
  <c r="E10" i="4" s="1"/>
  <c r="H12" i="7"/>
  <c r="H13" i="7"/>
  <c r="H14" i="7"/>
  <c r="H15" i="7"/>
  <c r="K14" i="3" l="1"/>
  <c r="F59" i="4"/>
  <c r="F60" i="4"/>
  <c r="F61" i="4"/>
  <c r="F80" i="4"/>
  <c r="F79" i="4"/>
  <c r="F81" i="4"/>
  <c r="F101" i="4"/>
  <c r="F99" i="4"/>
  <c r="F100" i="4"/>
  <c r="F88" i="4"/>
  <c r="F87" i="4"/>
  <c r="F89" i="4"/>
  <c r="F64" i="4"/>
  <c r="F63" i="4"/>
  <c r="F65" i="4"/>
  <c r="F85" i="4"/>
  <c r="F84" i="4"/>
  <c r="F83" i="4"/>
  <c r="F56" i="4"/>
  <c r="F55" i="4"/>
  <c r="F57" i="4"/>
  <c r="F75" i="4"/>
  <c r="F77" i="4"/>
  <c r="F76" i="4"/>
  <c r="F96" i="4"/>
  <c r="F95" i="4"/>
  <c r="F97" i="4"/>
  <c r="F73" i="4"/>
  <c r="F71" i="4"/>
  <c r="F72" i="4"/>
  <c r="F91" i="4"/>
  <c r="F92" i="4"/>
  <c r="F93" i="4"/>
  <c r="F69" i="4"/>
  <c r="F67" i="4"/>
  <c r="F68" i="4"/>
  <c r="K38" i="3"/>
  <c r="T31" i="3"/>
  <c r="U31" i="3"/>
  <c r="V31" i="3"/>
  <c r="W31" i="3"/>
  <c r="AC30" i="3"/>
  <c r="AD30" i="3"/>
  <c r="AB30" i="3"/>
  <c r="AB46" i="3"/>
  <c r="AD46" i="3"/>
  <c r="AC46" i="3"/>
  <c r="F14" i="3"/>
  <c r="AC31" i="3"/>
  <c r="AD31" i="3"/>
  <c r="AB31" i="3"/>
  <c r="AD47" i="3"/>
  <c r="AB47" i="3"/>
  <c r="AC47" i="3"/>
  <c r="AC40" i="3"/>
  <c r="AD40" i="3"/>
  <c r="AB40" i="3"/>
  <c r="K40" i="3"/>
  <c r="L31" i="3"/>
  <c r="AC41" i="3"/>
  <c r="AD41" i="3"/>
  <c r="AB41" i="3"/>
  <c r="AB18" i="3"/>
  <c r="AC18" i="3"/>
  <c r="AD18" i="3"/>
  <c r="F32" i="3"/>
  <c r="AD19" i="3"/>
  <c r="AB19" i="3"/>
  <c r="AC19" i="3"/>
  <c r="AD13" i="3"/>
  <c r="AB13" i="3"/>
  <c r="AC13" i="3"/>
  <c r="AC44" i="3"/>
  <c r="AD44" i="3"/>
  <c r="AB44" i="3"/>
  <c r="U47" i="3"/>
  <c r="V47" i="3"/>
  <c r="W47" i="3"/>
  <c r="T47" i="3"/>
  <c r="AC45" i="3"/>
  <c r="AB45" i="3"/>
  <c r="AD45" i="3"/>
  <c r="AB38" i="3"/>
  <c r="AD38" i="3"/>
  <c r="AC38" i="3"/>
  <c r="AD39" i="3"/>
  <c r="AB39" i="3"/>
  <c r="AC39" i="3"/>
  <c r="AC48" i="3"/>
  <c r="AD48" i="3"/>
  <c r="AB48" i="3"/>
  <c r="L47" i="3"/>
  <c r="AC49" i="3"/>
  <c r="AD49" i="3"/>
  <c r="AB49" i="3"/>
  <c r="AD42" i="3"/>
  <c r="AB42" i="3"/>
  <c r="AC42" i="3"/>
  <c r="Z43" i="3"/>
  <c r="AD43" i="3"/>
  <c r="AB43" i="3"/>
  <c r="AC43" i="3"/>
  <c r="H3" i="4"/>
  <c r="Y40" i="3"/>
  <c r="Z40" i="3"/>
  <c r="AA40" i="3"/>
  <c r="X47" i="3"/>
  <c r="S47" i="3"/>
  <c r="Z30" i="3"/>
  <c r="Y30" i="3"/>
  <c r="AA30" i="3"/>
  <c r="Z31" i="3"/>
  <c r="AA31" i="3"/>
  <c r="Z47" i="3"/>
  <c r="AA47" i="3"/>
  <c r="Y47" i="3"/>
  <c r="D47" i="3"/>
  <c r="I47" i="3" s="1"/>
  <c r="K31" i="3"/>
  <c r="L13" i="3"/>
  <c r="L38" i="3"/>
  <c r="K41" i="3"/>
  <c r="Y41" i="3"/>
  <c r="AA41" i="3"/>
  <c r="F19" i="3"/>
  <c r="F35" i="3"/>
  <c r="F13" i="3"/>
  <c r="R13" i="3" s="1"/>
  <c r="K18" i="3"/>
  <c r="AA18" i="3"/>
  <c r="Y18" i="3"/>
  <c r="Z18" i="3"/>
  <c r="F16" i="3"/>
  <c r="F48" i="3"/>
  <c r="O48" i="3" s="1"/>
  <c r="F26" i="3"/>
  <c r="F42" i="3"/>
  <c r="O42" i="3" s="1"/>
  <c r="L19" i="3"/>
  <c r="Z19" i="3"/>
  <c r="AA19" i="3"/>
  <c r="K13" i="3"/>
  <c r="AA13" i="3"/>
  <c r="Z13" i="3"/>
  <c r="Y44" i="3"/>
  <c r="Z44" i="3"/>
  <c r="AA44" i="3"/>
  <c r="K30" i="3"/>
  <c r="L46" i="3"/>
  <c r="Z39" i="3"/>
  <c r="AA39" i="3"/>
  <c r="Y39" i="3"/>
  <c r="K43" i="3"/>
  <c r="Z48" i="3"/>
  <c r="AA48" i="3"/>
  <c r="Y48" i="3"/>
  <c r="X31" i="3"/>
  <c r="S31" i="3"/>
  <c r="AA46" i="3"/>
  <c r="Y46" i="3"/>
  <c r="Z46" i="3"/>
  <c r="L30" i="3"/>
  <c r="Y45" i="3"/>
  <c r="Z45" i="3"/>
  <c r="AA45" i="3"/>
  <c r="D38" i="3"/>
  <c r="I38" i="3" s="1"/>
  <c r="AA38" i="3"/>
  <c r="Y38" i="3"/>
  <c r="Z38" i="3"/>
  <c r="F49" i="3"/>
  <c r="Q49" i="3" s="1"/>
  <c r="K47" i="3"/>
  <c r="K46" i="3"/>
  <c r="Y49" i="3"/>
  <c r="Z49" i="3"/>
  <c r="AA49" i="3"/>
  <c r="AA42" i="3"/>
  <c r="Y42" i="3"/>
  <c r="Z42" i="3"/>
  <c r="F40" i="3"/>
  <c r="F50" i="3"/>
  <c r="P50" i="3" s="1"/>
  <c r="AA43" i="3"/>
  <c r="Y43" i="3"/>
  <c r="F29" i="3"/>
  <c r="K45" i="3"/>
  <c r="D39" i="3"/>
  <c r="I39" i="3" s="1"/>
  <c r="L44" i="3"/>
  <c r="F30" i="3"/>
  <c r="D48" i="3"/>
  <c r="I48" i="3" s="1"/>
  <c r="F38" i="3"/>
  <c r="M38" i="3" s="1"/>
  <c r="L49" i="3"/>
  <c r="R30" i="3"/>
  <c r="Q30" i="3"/>
  <c r="Q29" i="3"/>
  <c r="K19" i="3"/>
  <c r="K39" i="3"/>
  <c r="L42" i="3"/>
  <c r="F39" i="3"/>
  <c r="F20" i="3"/>
  <c r="L39" i="3"/>
  <c r="K42" i="3"/>
  <c r="D44" i="3"/>
  <c r="I44" i="3" s="1"/>
  <c r="K44" i="3"/>
  <c r="D45" i="3"/>
  <c r="I45" i="3" s="1"/>
  <c r="D42" i="3"/>
  <c r="I42" i="3" s="1"/>
  <c r="F27" i="3"/>
  <c r="F43" i="3"/>
  <c r="F24" i="3"/>
  <c r="Q40" i="3"/>
  <c r="N40" i="3"/>
  <c r="R40" i="3"/>
  <c r="P40" i="3"/>
  <c r="O40" i="3"/>
  <c r="M40" i="3"/>
  <c r="O50" i="3"/>
  <c r="Q19" i="3"/>
  <c r="O13" i="3"/>
  <c r="P13" i="3"/>
  <c r="Q48" i="3"/>
  <c r="P42" i="3"/>
  <c r="M42" i="3"/>
  <c r="N42" i="3"/>
  <c r="F23" i="3"/>
  <c r="F45" i="3"/>
  <c r="F46" i="3"/>
  <c r="R31" i="3"/>
  <c r="P31" i="3"/>
  <c r="O31" i="3"/>
  <c r="M31" i="3"/>
  <c r="Q31" i="3"/>
  <c r="N31" i="3"/>
  <c r="R47" i="3"/>
  <c r="P47" i="3"/>
  <c r="O47" i="3"/>
  <c r="M47" i="3"/>
  <c r="Q47" i="3"/>
  <c r="N47" i="3"/>
  <c r="F18" i="3"/>
  <c r="L45" i="3"/>
  <c r="F17" i="3"/>
  <c r="F33" i="3"/>
  <c r="D49" i="3"/>
  <c r="I49" i="3" s="1"/>
  <c r="D30" i="3"/>
  <c r="I30" i="3" s="1"/>
  <c r="D46" i="3"/>
  <c r="I46" i="3" s="1"/>
  <c r="L41" i="3"/>
  <c r="D18" i="3"/>
  <c r="I18" i="3" s="1"/>
  <c r="L18" i="3"/>
  <c r="F21" i="3"/>
  <c r="F37" i="3"/>
  <c r="F34" i="3"/>
  <c r="D32" i="3"/>
  <c r="M32" i="3" s="1"/>
  <c r="I31" i="3"/>
  <c r="F41" i="3"/>
  <c r="F25" i="3"/>
  <c r="D41" i="3"/>
  <c r="I41" i="3" s="1"/>
  <c r="F28" i="3"/>
  <c r="F44" i="3"/>
  <c r="F22" i="3"/>
  <c r="D20" i="3"/>
  <c r="I19" i="3"/>
  <c r="D14" i="3"/>
  <c r="Y11" i="3"/>
  <c r="G12" i="7"/>
  <c r="G13" i="7"/>
  <c r="G14" i="7"/>
  <c r="G15" i="7"/>
  <c r="E13" i="4" s="1"/>
  <c r="E14" i="4" s="1"/>
  <c r="Q42" i="2"/>
  <c r="Q43" i="2"/>
  <c r="Q44" i="2"/>
  <c r="Q45" i="2"/>
  <c r="Q46" i="2"/>
  <c r="Q47" i="2"/>
  <c r="Q48" i="2"/>
  <c r="Q49" i="2"/>
  <c r="Q50" i="2"/>
  <c r="Q27" i="2"/>
  <c r="Q28" i="2"/>
  <c r="Q29" i="2"/>
  <c r="Q30" i="2"/>
  <c r="Q31" i="2"/>
  <c r="Q32" i="2"/>
  <c r="Q33" i="2"/>
  <c r="Q34" i="2"/>
  <c r="Q35" i="2"/>
  <c r="Q36" i="2"/>
  <c r="AE31" i="2"/>
  <c r="AS31" i="2"/>
  <c r="BG31" i="2"/>
  <c r="BU31" i="2"/>
  <c r="CI31" i="2"/>
  <c r="CW31" i="2"/>
  <c r="DK31" i="2"/>
  <c r="DY31" i="2"/>
  <c r="EM31" i="2"/>
  <c r="FA31" i="2"/>
  <c r="Q14" i="2"/>
  <c r="AE14" i="2"/>
  <c r="AS14" i="2"/>
  <c r="BG14" i="2"/>
  <c r="BU14" i="2"/>
  <c r="CI14" i="2"/>
  <c r="CW14" i="2"/>
  <c r="DK14" i="2"/>
  <c r="DY14" i="2"/>
  <c r="EM14" i="2"/>
  <c r="FA14" i="2"/>
  <c r="Q15" i="2"/>
  <c r="AE15" i="2"/>
  <c r="AS15" i="2"/>
  <c r="BG15" i="2"/>
  <c r="BU15" i="2"/>
  <c r="CI15" i="2"/>
  <c r="CW15" i="2"/>
  <c r="DK15" i="2"/>
  <c r="DY15" i="2"/>
  <c r="EM15" i="2"/>
  <c r="FA15" i="2"/>
  <c r="Q16" i="2"/>
  <c r="AE16" i="2"/>
  <c r="AS16" i="2"/>
  <c r="BG16" i="2"/>
  <c r="BU16" i="2"/>
  <c r="CI16" i="2"/>
  <c r="CW16" i="2"/>
  <c r="DK16" i="2"/>
  <c r="DY16" i="2"/>
  <c r="EM16" i="2"/>
  <c r="FA16" i="2"/>
  <c r="Q17" i="2"/>
  <c r="AE17" i="2"/>
  <c r="AS17" i="2"/>
  <c r="BG17" i="2"/>
  <c r="BU17" i="2"/>
  <c r="CI17" i="2"/>
  <c r="CW17" i="2"/>
  <c r="DK17" i="2"/>
  <c r="DY17" i="2"/>
  <c r="EM17" i="2"/>
  <c r="FA17" i="2"/>
  <c r="Q18" i="2"/>
  <c r="AE18" i="2"/>
  <c r="AS18" i="2"/>
  <c r="BG18" i="2"/>
  <c r="BU18" i="2"/>
  <c r="CI18" i="2"/>
  <c r="CW18" i="2"/>
  <c r="DK18" i="2"/>
  <c r="DY18" i="2"/>
  <c r="EM18" i="2"/>
  <c r="FA18" i="2"/>
  <c r="Q19" i="2"/>
  <c r="AE19" i="2"/>
  <c r="AS19" i="2"/>
  <c r="BG19" i="2"/>
  <c r="BU19" i="2"/>
  <c r="CI19" i="2"/>
  <c r="CW19" i="2"/>
  <c r="DK19" i="2"/>
  <c r="DY19" i="2"/>
  <c r="EM19" i="2"/>
  <c r="FA19" i="2"/>
  <c r="Q20" i="2"/>
  <c r="AE20" i="2"/>
  <c r="AS20" i="2"/>
  <c r="BG20" i="2"/>
  <c r="BU20" i="2"/>
  <c r="CI20" i="2"/>
  <c r="CW20" i="2"/>
  <c r="DK20" i="2"/>
  <c r="DY20" i="2"/>
  <c r="EM20" i="2"/>
  <c r="FA20" i="2"/>
  <c r="Q21" i="2"/>
  <c r="AE21" i="2"/>
  <c r="AS21" i="2"/>
  <c r="BG21" i="2"/>
  <c r="BU21" i="2"/>
  <c r="CI21" i="2"/>
  <c r="CW21" i="2"/>
  <c r="DK21" i="2"/>
  <c r="DY21" i="2"/>
  <c r="EM21" i="2"/>
  <c r="FA21" i="2"/>
  <c r="Q10" i="2"/>
  <c r="K22" i="2"/>
  <c r="P37" i="2"/>
  <c r="N22" i="2"/>
  <c r="K51" i="2"/>
  <c r="G51" i="2"/>
  <c r="F22" i="2"/>
  <c r="J22" i="2"/>
  <c r="M22" i="2"/>
  <c r="G37" i="2"/>
  <c r="K37" i="2"/>
  <c r="F51" i="2"/>
  <c r="M37" i="2"/>
  <c r="M51" i="2"/>
  <c r="P51" i="2"/>
  <c r="I51" i="2"/>
  <c r="H22" i="2"/>
  <c r="J37" i="2"/>
  <c r="L37" i="2"/>
  <c r="O22" i="2"/>
  <c r="L22" i="2"/>
  <c r="O37" i="2"/>
  <c r="H51" i="2"/>
  <c r="N51" i="2"/>
  <c r="F37" i="2"/>
  <c r="O51" i="2"/>
  <c r="I22" i="2"/>
  <c r="I37" i="2"/>
  <c r="N37" i="2"/>
  <c r="L51" i="2"/>
  <c r="G22" i="2"/>
  <c r="H37" i="2"/>
  <c r="J51" i="2"/>
  <c r="P22" i="2"/>
  <c r="G68" i="4" l="1"/>
  <c r="J68" i="4"/>
  <c r="G92" i="4"/>
  <c r="J92" i="4"/>
  <c r="J73" i="4"/>
  <c r="G73" i="4"/>
  <c r="G76" i="4"/>
  <c r="J76" i="4"/>
  <c r="G55" i="4"/>
  <c r="J55" i="4"/>
  <c r="G85" i="4"/>
  <c r="J85" i="4"/>
  <c r="G89" i="4"/>
  <c r="J89" i="4"/>
  <c r="G99" i="4"/>
  <c r="J99" i="4"/>
  <c r="J80" i="4"/>
  <c r="G80" i="4"/>
  <c r="J67" i="4"/>
  <c r="G67" i="4"/>
  <c r="J91" i="4"/>
  <c r="G91" i="4"/>
  <c r="J97" i="4"/>
  <c r="G97" i="4"/>
  <c r="G77" i="4"/>
  <c r="J77" i="4"/>
  <c r="J56" i="4"/>
  <c r="G56" i="4"/>
  <c r="G65" i="4"/>
  <c r="J65" i="4"/>
  <c r="G87" i="4"/>
  <c r="J87" i="4"/>
  <c r="J101" i="4"/>
  <c r="G101" i="4"/>
  <c r="J61" i="4"/>
  <c r="G61" i="4"/>
  <c r="J69" i="4"/>
  <c r="G69" i="4"/>
  <c r="G72" i="4"/>
  <c r="J72" i="4"/>
  <c r="G95" i="4"/>
  <c r="J95" i="4"/>
  <c r="G75" i="4"/>
  <c r="J75" i="4"/>
  <c r="J83" i="4"/>
  <c r="G83" i="4"/>
  <c r="J63" i="4"/>
  <c r="G63" i="4"/>
  <c r="J88" i="4"/>
  <c r="G88" i="4"/>
  <c r="J81" i="4"/>
  <c r="G81" i="4"/>
  <c r="J60" i="4"/>
  <c r="G60" i="4"/>
  <c r="G93" i="4"/>
  <c r="J93" i="4"/>
  <c r="G71" i="4"/>
  <c r="J71" i="4"/>
  <c r="J96" i="4"/>
  <c r="G96" i="4"/>
  <c r="J57" i="4"/>
  <c r="G57" i="4"/>
  <c r="J84" i="4"/>
  <c r="G84" i="4"/>
  <c r="G64" i="4"/>
  <c r="J64" i="4"/>
  <c r="J100" i="4"/>
  <c r="G100" i="4"/>
  <c r="J79" i="4"/>
  <c r="G79" i="4"/>
  <c r="J59" i="4"/>
  <c r="G59" i="4"/>
  <c r="N50" i="3"/>
  <c r="M50" i="3"/>
  <c r="Q42" i="3"/>
  <c r="M13" i="3"/>
  <c r="Q50" i="3"/>
  <c r="R38" i="3"/>
  <c r="R42" i="3"/>
  <c r="N13" i="3"/>
  <c r="R50" i="3"/>
  <c r="W18" i="3"/>
  <c r="T18" i="3"/>
  <c r="U18" i="3"/>
  <c r="V18" i="3"/>
  <c r="O49" i="3"/>
  <c r="U49" i="3"/>
  <c r="T49" i="3"/>
  <c r="V49" i="3"/>
  <c r="W49" i="3"/>
  <c r="U48" i="3"/>
  <c r="V48" i="3"/>
  <c r="T48" i="3"/>
  <c r="W48" i="3"/>
  <c r="W19" i="3"/>
  <c r="T19" i="3"/>
  <c r="V19" i="3"/>
  <c r="U19" i="3"/>
  <c r="T14" i="3"/>
  <c r="U14" i="3"/>
  <c r="M14" i="3"/>
  <c r="V14" i="3" s="1"/>
  <c r="U41" i="3"/>
  <c r="V41" i="3"/>
  <c r="T41" i="3"/>
  <c r="W41" i="3"/>
  <c r="P48" i="3"/>
  <c r="M19" i="3"/>
  <c r="Q38" i="3"/>
  <c r="T32" i="3"/>
  <c r="U32" i="3"/>
  <c r="U44" i="3"/>
  <c r="V44" i="3"/>
  <c r="T44" i="3"/>
  <c r="W44" i="3"/>
  <c r="U37" i="3"/>
  <c r="V37" i="3"/>
  <c r="W37" i="3"/>
  <c r="T37" i="3"/>
  <c r="T33" i="3"/>
  <c r="U46" i="3"/>
  <c r="V46" i="3"/>
  <c r="T46" i="3"/>
  <c r="W46" i="3"/>
  <c r="U21" i="3"/>
  <c r="W17" i="3"/>
  <c r="T17" i="3"/>
  <c r="V17" i="3"/>
  <c r="U17" i="3"/>
  <c r="U45" i="3"/>
  <c r="V45" i="3"/>
  <c r="W45" i="3"/>
  <c r="T45" i="3"/>
  <c r="R48" i="3"/>
  <c r="N19" i="3"/>
  <c r="O19" i="3"/>
  <c r="U43" i="3"/>
  <c r="T43" i="3"/>
  <c r="V43" i="3"/>
  <c r="W43" i="3"/>
  <c r="T20" i="3"/>
  <c r="U20" i="3"/>
  <c r="U50" i="3"/>
  <c r="V50" i="3"/>
  <c r="W50" i="3"/>
  <c r="T50" i="3"/>
  <c r="U42" i="3"/>
  <c r="V42" i="3"/>
  <c r="W42" i="3"/>
  <c r="T42" i="3"/>
  <c r="T13" i="3"/>
  <c r="U13" i="3"/>
  <c r="W13" i="3"/>
  <c r="V13" i="3"/>
  <c r="P38" i="3"/>
  <c r="U38" i="3"/>
  <c r="V38" i="3"/>
  <c r="T38" i="3"/>
  <c r="W38" i="3"/>
  <c r="M48" i="3"/>
  <c r="N48" i="3"/>
  <c r="P19" i="3"/>
  <c r="R19" i="3"/>
  <c r="U39" i="3"/>
  <c r="V39" i="3"/>
  <c r="W39" i="3"/>
  <c r="T39" i="3"/>
  <c r="O38" i="3"/>
  <c r="T30" i="3"/>
  <c r="U30" i="3"/>
  <c r="W30" i="3"/>
  <c r="V30" i="3"/>
  <c r="R29" i="3"/>
  <c r="T29" i="3"/>
  <c r="U29" i="3"/>
  <c r="V29" i="3"/>
  <c r="W29" i="3"/>
  <c r="U40" i="3"/>
  <c r="V40" i="3"/>
  <c r="T40" i="3"/>
  <c r="W40" i="3"/>
  <c r="X18" i="3"/>
  <c r="S18" i="3"/>
  <c r="P49" i="3"/>
  <c r="M49" i="3"/>
  <c r="X39" i="3"/>
  <c r="S39" i="3"/>
  <c r="N38" i="3"/>
  <c r="X48" i="3"/>
  <c r="S48" i="3"/>
  <c r="X19" i="3"/>
  <c r="S19" i="3"/>
  <c r="X41" i="3"/>
  <c r="S41" i="3"/>
  <c r="X46" i="3"/>
  <c r="S46" i="3"/>
  <c r="R49" i="3"/>
  <c r="M30" i="3"/>
  <c r="X30" i="3"/>
  <c r="S30" i="3"/>
  <c r="M29" i="3"/>
  <c r="X29" i="3"/>
  <c r="S29" i="3"/>
  <c r="X50" i="3"/>
  <c r="S50" i="3"/>
  <c r="X43" i="3"/>
  <c r="S43" i="3"/>
  <c r="X49" i="3"/>
  <c r="S49" i="3"/>
  <c r="X44" i="3"/>
  <c r="S44" i="3"/>
  <c r="X37" i="3"/>
  <c r="S37" i="3"/>
  <c r="X17" i="3"/>
  <c r="S17" i="3"/>
  <c r="X45" i="3"/>
  <c r="S45" i="3"/>
  <c r="N49" i="3"/>
  <c r="O29" i="3"/>
  <c r="O30" i="3"/>
  <c r="X38" i="3"/>
  <c r="S38" i="3"/>
  <c r="X40" i="3"/>
  <c r="S40" i="3"/>
  <c r="X42" i="3"/>
  <c r="S42" i="3"/>
  <c r="X13" i="3"/>
  <c r="Y13" i="3" s="1"/>
  <c r="Q13" i="3"/>
  <c r="S13" i="3"/>
  <c r="N29" i="3"/>
  <c r="P29" i="3"/>
  <c r="N30" i="3"/>
  <c r="P30" i="3"/>
  <c r="N14" i="3"/>
  <c r="R17" i="3"/>
  <c r="O17" i="3"/>
  <c r="M17" i="3"/>
  <c r="P17" i="3"/>
  <c r="N17" i="3"/>
  <c r="Q17" i="3"/>
  <c r="N32" i="3"/>
  <c r="O32" i="3" s="1"/>
  <c r="O18" i="3"/>
  <c r="M18" i="3"/>
  <c r="R18" i="3"/>
  <c r="Q18" i="3"/>
  <c r="P18" i="3"/>
  <c r="N18" i="3"/>
  <c r="R43" i="3"/>
  <c r="P43" i="3"/>
  <c r="O43" i="3"/>
  <c r="M43" i="3"/>
  <c r="Q43" i="3"/>
  <c r="N43" i="3"/>
  <c r="N20" i="3"/>
  <c r="M20" i="3"/>
  <c r="V20" i="3" s="1"/>
  <c r="Q44" i="3"/>
  <c r="N44" i="3"/>
  <c r="R44" i="3"/>
  <c r="P44" i="3"/>
  <c r="O44" i="3"/>
  <c r="M44" i="3"/>
  <c r="O41" i="3"/>
  <c r="M41" i="3"/>
  <c r="Q41" i="3"/>
  <c r="N41" i="3"/>
  <c r="R41" i="3"/>
  <c r="P41" i="3"/>
  <c r="O37" i="3"/>
  <c r="M37" i="3"/>
  <c r="Q37" i="3"/>
  <c r="N37" i="3"/>
  <c r="R37" i="3"/>
  <c r="P37" i="3"/>
  <c r="P46" i="3"/>
  <c r="O46" i="3"/>
  <c r="M46" i="3"/>
  <c r="Q46" i="3"/>
  <c r="N46" i="3"/>
  <c r="R46" i="3"/>
  <c r="R39" i="3"/>
  <c r="P39" i="3"/>
  <c r="O39" i="3"/>
  <c r="M39" i="3"/>
  <c r="Q39" i="3"/>
  <c r="N39" i="3"/>
  <c r="O45" i="3"/>
  <c r="M45" i="3"/>
  <c r="Q45" i="3"/>
  <c r="N45" i="3"/>
  <c r="R45" i="3"/>
  <c r="P45" i="3"/>
  <c r="D33" i="3"/>
  <c r="N33" i="3" s="1"/>
  <c r="I32" i="3"/>
  <c r="K32" i="3" s="1"/>
  <c r="D15" i="3"/>
  <c r="I14" i="3"/>
  <c r="D21" i="3"/>
  <c r="M21" i="3" s="1"/>
  <c r="I20" i="3"/>
  <c r="K20" i="3" s="1"/>
  <c r="FA50" i="2"/>
  <c r="FA49" i="2"/>
  <c r="FA48" i="2"/>
  <c r="FA47" i="2"/>
  <c r="FA46" i="2"/>
  <c r="FA45" i="2"/>
  <c r="FA44" i="2"/>
  <c r="FA43" i="2"/>
  <c r="FA42" i="2"/>
  <c r="FA41" i="2"/>
  <c r="FA36" i="2"/>
  <c r="FA35" i="2"/>
  <c r="FA34" i="2"/>
  <c r="FA33" i="2"/>
  <c r="FA32" i="2"/>
  <c r="FA30" i="2"/>
  <c r="FA29" i="2"/>
  <c r="FA28" i="2"/>
  <c r="FA27" i="2"/>
  <c r="FA26" i="2"/>
  <c r="FA13" i="2"/>
  <c r="FA12" i="2"/>
  <c r="FA11" i="2"/>
  <c r="FA10" i="2"/>
  <c r="EM50" i="2"/>
  <c r="EM49" i="2"/>
  <c r="EM48" i="2"/>
  <c r="EM47" i="2"/>
  <c r="EM46" i="2"/>
  <c r="EM45" i="2"/>
  <c r="EM44" i="2"/>
  <c r="EM43" i="2"/>
  <c r="EM42" i="2"/>
  <c r="EM41" i="2"/>
  <c r="EM36" i="2"/>
  <c r="EM35" i="2"/>
  <c r="EM34" i="2"/>
  <c r="EM33" i="2"/>
  <c r="EM32" i="2"/>
  <c r="EM30" i="2"/>
  <c r="EM29" i="2"/>
  <c r="EM28" i="2"/>
  <c r="EM27" i="2"/>
  <c r="EM26" i="2"/>
  <c r="EM13" i="2"/>
  <c r="EM12" i="2"/>
  <c r="EM11" i="2"/>
  <c r="EM10" i="2"/>
  <c r="DY50" i="2"/>
  <c r="DY49" i="2"/>
  <c r="DY48" i="2"/>
  <c r="DY47" i="2"/>
  <c r="DY46" i="2"/>
  <c r="DY45" i="2"/>
  <c r="DY44" i="2"/>
  <c r="DY43" i="2"/>
  <c r="DY42" i="2"/>
  <c r="DY41" i="2"/>
  <c r="DY36" i="2"/>
  <c r="DY35" i="2"/>
  <c r="DY34" i="2"/>
  <c r="DY33" i="2"/>
  <c r="DY32" i="2"/>
  <c r="DY30" i="2"/>
  <c r="DY29" i="2"/>
  <c r="DY28" i="2"/>
  <c r="DY27" i="2"/>
  <c r="DY26" i="2"/>
  <c r="DY13" i="2"/>
  <c r="DY12" i="2"/>
  <c r="DY11" i="2"/>
  <c r="DY10" i="2"/>
  <c r="DK50" i="2"/>
  <c r="DK49" i="2"/>
  <c r="DK48" i="2"/>
  <c r="DK47" i="2"/>
  <c r="DK46" i="2"/>
  <c r="DK45" i="2"/>
  <c r="DK44" i="2"/>
  <c r="DK43" i="2"/>
  <c r="DK42" i="2"/>
  <c r="DK41" i="2"/>
  <c r="DK36" i="2"/>
  <c r="DK35" i="2"/>
  <c r="DK34" i="2"/>
  <c r="DK33" i="2"/>
  <c r="DK32" i="2"/>
  <c r="DK30" i="2"/>
  <c r="DK29" i="2"/>
  <c r="DK28" i="2"/>
  <c r="DK27" i="2"/>
  <c r="DK26" i="2"/>
  <c r="DK13" i="2"/>
  <c r="DK12" i="2"/>
  <c r="DK11" i="2"/>
  <c r="DK10" i="2"/>
  <c r="CW50" i="2"/>
  <c r="CW49" i="2"/>
  <c r="CW48" i="2"/>
  <c r="CW47" i="2"/>
  <c r="CW46" i="2"/>
  <c r="CW45" i="2"/>
  <c r="CW44" i="2"/>
  <c r="CW43" i="2"/>
  <c r="CW42" i="2"/>
  <c r="CW41" i="2"/>
  <c r="CW36" i="2"/>
  <c r="CW35" i="2"/>
  <c r="CW34" i="2"/>
  <c r="CW33" i="2"/>
  <c r="CW32" i="2"/>
  <c r="CW30" i="2"/>
  <c r="CW29" i="2"/>
  <c r="CW28" i="2"/>
  <c r="CW27" i="2"/>
  <c r="CW26" i="2"/>
  <c r="CW13" i="2"/>
  <c r="CW12" i="2"/>
  <c r="CW11" i="2"/>
  <c r="CW10" i="2"/>
  <c r="CI50" i="2"/>
  <c r="CI49" i="2"/>
  <c r="CI48" i="2"/>
  <c r="CI47" i="2"/>
  <c r="CI46" i="2"/>
  <c r="CI45" i="2"/>
  <c r="CI44" i="2"/>
  <c r="CI43" i="2"/>
  <c r="CI42" i="2"/>
  <c r="CI41" i="2"/>
  <c r="CI36" i="2"/>
  <c r="CI35" i="2"/>
  <c r="CI34" i="2"/>
  <c r="CI33" i="2"/>
  <c r="CI32" i="2"/>
  <c r="CI30" i="2"/>
  <c r="CI29" i="2"/>
  <c r="CI28" i="2"/>
  <c r="CI27" i="2"/>
  <c r="CI26" i="2"/>
  <c r="CI13" i="2"/>
  <c r="CI12" i="2"/>
  <c r="CI11" i="2"/>
  <c r="CI10" i="2"/>
  <c r="BU50" i="2"/>
  <c r="BU49" i="2"/>
  <c r="BU48" i="2"/>
  <c r="BU47" i="2"/>
  <c r="BU46" i="2"/>
  <c r="BU45" i="2"/>
  <c r="BU44" i="2"/>
  <c r="BU43" i="2"/>
  <c r="BU42" i="2"/>
  <c r="BU41" i="2"/>
  <c r="BU36" i="2"/>
  <c r="BU35" i="2"/>
  <c r="BU34" i="2"/>
  <c r="BU33" i="2"/>
  <c r="BU32" i="2"/>
  <c r="BU30" i="2"/>
  <c r="BU29" i="2"/>
  <c r="BU28" i="2"/>
  <c r="BU27" i="2"/>
  <c r="BU26" i="2"/>
  <c r="BU13" i="2"/>
  <c r="BU12" i="2"/>
  <c r="BU11" i="2"/>
  <c r="BU10" i="2"/>
  <c r="BG50" i="2"/>
  <c r="BG49" i="2"/>
  <c r="BG48" i="2"/>
  <c r="BG47" i="2"/>
  <c r="BG46" i="2"/>
  <c r="BG45" i="2"/>
  <c r="BG44" i="2"/>
  <c r="BG43" i="2"/>
  <c r="BG42" i="2"/>
  <c r="BG41" i="2"/>
  <c r="BG36" i="2"/>
  <c r="BG35" i="2"/>
  <c r="BG34" i="2"/>
  <c r="BG33" i="2"/>
  <c r="BG32" i="2"/>
  <c r="BG30" i="2"/>
  <c r="BG29" i="2"/>
  <c r="BG28" i="2"/>
  <c r="BG27" i="2"/>
  <c r="BG26" i="2"/>
  <c r="BG13" i="2"/>
  <c r="BG12" i="2"/>
  <c r="BG11" i="2"/>
  <c r="BG10" i="2"/>
  <c r="AS50" i="2"/>
  <c r="AS49" i="2"/>
  <c r="AS48" i="2"/>
  <c r="AS47" i="2"/>
  <c r="AS46" i="2"/>
  <c r="AS45" i="2"/>
  <c r="AS44" i="2"/>
  <c r="AS43" i="2"/>
  <c r="AS42" i="2"/>
  <c r="AS41" i="2"/>
  <c r="AS36" i="2"/>
  <c r="AS35" i="2"/>
  <c r="AS34" i="2"/>
  <c r="AS33" i="2"/>
  <c r="AS32" i="2"/>
  <c r="AS30" i="2"/>
  <c r="AS29" i="2"/>
  <c r="AS28" i="2"/>
  <c r="AS27" i="2"/>
  <c r="AS26" i="2"/>
  <c r="AS13" i="2"/>
  <c r="AS12" i="2"/>
  <c r="AS11" i="2"/>
  <c r="AS10" i="2"/>
  <c r="AE50" i="2"/>
  <c r="AE49" i="2"/>
  <c r="AE48" i="2"/>
  <c r="AE47" i="2"/>
  <c r="AE46" i="2"/>
  <c r="AE45" i="2"/>
  <c r="AE44" i="2"/>
  <c r="AE43" i="2"/>
  <c r="AE42" i="2"/>
  <c r="AE41" i="2"/>
  <c r="AE36" i="2"/>
  <c r="AE35" i="2"/>
  <c r="AE34" i="2"/>
  <c r="AE33" i="2"/>
  <c r="AE32" i="2"/>
  <c r="AE30" i="2"/>
  <c r="AE29" i="2"/>
  <c r="AE28" i="2"/>
  <c r="AE27" i="2"/>
  <c r="AE26" i="2"/>
  <c r="AE13" i="2"/>
  <c r="AE12" i="2"/>
  <c r="AE11" i="2"/>
  <c r="AE10" i="2"/>
  <c r="O14" i="3" l="1"/>
  <c r="T21" i="3"/>
  <c r="U33" i="3"/>
  <c r="V32" i="3"/>
  <c r="U15" i="3"/>
  <c r="T15" i="3"/>
  <c r="O20" i="3"/>
  <c r="Q14" i="3"/>
  <c r="Q20" i="3"/>
  <c r="Q32" i="3"/>
  <c r="N21" i="3"/>
  <c r="Q21" i="3" s="1"/>
  <c r="N15" i="3"/>
  <c r="M15" i="3"/>
  <c r="V15" i="3" s="1"/>
  <c r="M33" i="3"/>
  <c r="V33" i="3" s="1"/>
  <c r="D34" i="3"/>
  <c r="I33" i="3"/>
  <c r="K33" i="3" s="1"/>
  <c r="D22" i="3"/>
  <c r="I21" i="3"/>
  <c r="K21" i="3" s="1"/>
  <c r="D16" i="3"/>
  <c r="I15" i="3"/>
  <c r="K15" i="3" s="1"/>
  <c r="Q41" i="2"/>
  <c r="Q26" i="2"/>
  <c r="Q12" i="2"/>
  <c r="Q11" i="2"/>
  <c r="Q13" i="2"/>
  <c r="E5" i="2"/>
  <c r="AL22" i="2"/>
  <c r="CW51" i="2"/>
  <c r="BN51" i="2"/>
  <c r="T37" i="2"/>
  <c r="CI22" i="2"/>
  <c r="BM22" i="2"/>
  <c r="DB22" i="2"/>
  <c r="CF22" i="2"/>
  <c r="EB22" i="2"/>
  <c r="ES51" i="2"/>
  <c r="AL51" i="2"/>
  <c r="EA22" i="2"/>
  <c r="CB51" i="2"/>
  <c r="AO51" i="2"/>
  <c r="DD37" i="2"/>
  <c r="BF51" i="2"/>
  <c r="BD37" i="2"/>
  <c r="DE37" i="2"/>
  <c r="CL22" i="2"/>
  <c r="DJ51" i="2"/>
  <c r="DF51" i="2"/>
  <c r="DB37" i="2"/>
  <c r="CV51" i="2"/>
  <c r="AM37" i="2"/>
  <c r="AI22" i="2"/>
  <c r="BE51" i="2"/>
  <c r="BA51" i="2"/>
  <c r="BD51" i="2"/>
  <c r="CP22" i="2"/>
  <c r="BL51" i="2"/>
  <c r="EV37" i="2"/>
  <c r="BZ37" i="2"/>
  <c r="BG51" i="2"/>
  <c r="EQ51" i="2"/>
  <c r="Y51" i="2"/>
  <c r="EL37" i="2"/>
  <c r="AJ22" i="2"/>
  <c r="DX51" i="2"/>
  <c r="AW51" i="2"/>
  <c r="BO37" i="2"/>
  <c r="X51" i="2"/>
  <c r="CN37" i="2"/>
  <c r="FA37" i="2"/>
  <c r="DC22" i="2"/>
  <c r="DI22" i="2"/>
  <c r="AU51" i="2"/>
  <c r="EH51" i="2"/>
  <c r="CD51" i="2"/>
  <c r="BX22" i="2"/>
  <c r="BS37" i="2"/>
  <c r="BF37" i="2"/>
  <c r="AQ37" i="2"/>
  <c r="AN22" i="2"/>
  <c r="BN37" i="2"/>
  <c r="BY51" i="2"/>
  <c r="AM22" i="2"/>
  <c r="BK22" i="2"/>
  <c r="EH22" i="2"/>
  <c r="CK22" i="2"/>
  <c r="EB37" i="2"/>
  <c r="EC37" i="2"/>
  <c r="CR22" i="2"/>
  <c r="DE51" i="2"/>
  <c r="AB22" i="2"/>
  <c r="CV22" i="2"/>
  <c r="CC51" i="2"/>
  <c r="U51" i="2"/>
  <c r="CM51" i="2"/>
  <c r="BD22" i="2"/>
  <c r="AD37" i="2"/>
  <c r="AS22" i="2"/>
  <c r="Q22" i="2"/>
  <c r="AC22" i="2"/>
  <c r="DN51" i="2"/>
  <c r="CN22" i="2"/>
  <c r="CO37" i="2"/>
  <c r="S37" i="2"/>
  <c r="AX37" i="2"/>
  <c r="AO22" i="2"/>
  <c r="EI51" i="2"/>
  <c r="EU37" i="2"/>
  <c r="AZ51" i="2"/>
  <c r="AP22" i="2"/>
  <c r="CP37" i="2"/>
  <c r="BP22" i="2"/>
  <c r="BX37" i="2"/>
  <c r="DC51" i="2"/>
  <c r="DJ22" i="2"/>
  <c r="BW51" i="2"/>
  <c r="CG51" i="2"/>
  <c r="EG51" i="2"/>
  <c r="AG51" i="2"/>
  <c r="BS22" i="2"/>
  <c r="BI51" i="2"/>
  <c r="DT51" i="2"/>
  <c r="BO51" i="2"/>
  <c r="E22" i="2"/>
  <c r="DD22" i="2"/>
  <c r="AK22" i="2"/>
  <c r="DO22" i="2"/>
  <c r="DY22" i="2"/>
  <c r="S51" i="2"/>
  <c r="U37" i="2"/>
  <c r="BU37" i="2"/>
  <c r="BB37" i="2"/>
  <c r="AV22" i="2"/>
  <c r="CA51" i="2"/>
  <c r="BQ37" i="2"/>
  <c r="BL37" i="2"/>
  <c r="BZ22" i="2"/>
  <c r="CS37" i="2"/>
  <c r="ER51" i="2"/>
  <c r="AW37" i="2"/>
  <c r="EO22" i="2"/>
  <c r="CH51" i="2"/>
  <c r="AZ37" i="2"/>
  <c r="EC51" i="2"/>
  <c r="DK22" i="2"/>
  <c r="DH37" i="2"/>
  <c r="EL51" i="2"/>
  <c r="CE37" i="2"/>
  <c r="EV51" i="2"/>
  <c r="AL37" i="2"/>
  <c r="BA37" i="2"/>
  <c r="AN51" i="2"/>
  <c r="CD22" i="2"/>
  <c r="DY37" i="2"/>
  <c r="DQ37" i="2"/>
  <c r="EM37" i="2"/>
  <c r="DE22" i="2"/>
  <c r="AH37" i="2"/>
  <c r="FA51" i="2"/>
  <c r="EK37" i="2"/>
  <c r="DP37" i="2"/>
  <c r="CI51" i="2"/>
  <c r="AP51" i="2"/>
  <c r="AC51" i="2"/>
  <c r="DA37" i="2"/>
  <c r="EQ37" i="2"/>
  <c r="DN37" i="2"/>
  <c r="CO51" i="2"/>
  <c r="AE51" i="2"/>
  <c r="CF51" i="2"/>
  <c r="DW51" i="2"/>
  <c r="AQ22" i="2"/>
  <c r="BN22" i="2"/>
  <c r="DR22" i="2"/>
  <c r="V22" i="2"/>
  <c r="EZ37" i="2"/>
  <c r="CY51" i="2"/>
  <c r="CG37" i="2"/>
  <c r="CH37" i="2"/>
  <c r="ER37" i="2"/>
  <c r="W22" i="2"/>
  <c r="AO37" i="2"/>
  <c r="CU22" i="2"/>
  <c r="BW37" i="2"/>
  <c r="CC22" i="2"/>
  <c r="AK51" i="2"/>
  <c r="DW37" i="2"/>
  <c r="DG37" i="2"/>
  <c r="DU51" i="2"/>
  <c r="BU51" i="2"/>
  <c r="EJ22" i="2"/>
  <c r="CG22" i="2"/>
  <c r="DV22" i="2"/>
  <c r="CR51" i="2"/>
  <c r="AJ37" i="2"/>
  <c r="EF22" i="2"/>
  <c r="ED51" i="2"/>
  <c r="CR37" i="2"/>
  <c r="DQ22" i="2"/>
  <c r="DB51" i="2"/>
  <c r="BY37" i="2"/>
  <c r="BP51" i="2"/>
  <c r="DT22" i="2"/>
  <c r="EB51" i="2"/>
  <c r="BB22" i="2"/>
  <c r="DK37" i="2"/>
  <c r="AG37" i="2"/>
  <c r="AY22" i="2"/>
  <c r="DM51" i="2"/>
  <c r="EA37" i="2"/>
  <c r="DD51" i="2"/>
  <c r="EW37" i="2"/>
  <c r="CT22" i="2"/>
  <c r="DP22" i="2"/>
  <c r="CC37" i="2"/>
  <c r="CQ22" i="2"/>
  <c r="CA37" i="2"/>
  <c r="CY37" i="2"/>
  <c r="BI37" i="2"/>
  <c r="EP37" i="2"/>
  <c r="Z22" i="2"/>
  <c r="W51" i="2"/>
  <c r="CI37" i="2"/>
  <c r="AR37" i="2"/>
  <c r="AY51" i="2"/>
  <c r="AC37" i="2"/>
  <c r="EY22" i="2"/>
  <c r="AV51" i="2"/>
  <c r="CP51" i="2"/>
  <c r="BO22" i="2"/>
  <c r="CO22" i="2"/>
  <c r="AZ22" i="2"/>
  <c r="EQ22" i="2"/>
  <c r="CD37" i="2"/>
  <c r="T22" i="2"/>
  <c r="EX51" i="2"/>
  <c r="CL37" i="2"/>
  <c r="BJ22" i="2"/>
  <c r="CE22" i="2"/>
  <c r="ED37" i="2"/>
  <c r="ET37" i="2"/>
  <c r="EI22" i="2"/>
  <c r="AB51" i="2"/>
  <c r="BT37" i="2"/>
  <c r="DX37" i="2"/>
  <c r="EO51" i="2"/>
  <c r="BC37" i="2"/>
  <c r="EP22" i="2"/>
  <c r="BL22" i="2"/>
  <c r="AE37" i="2"/>
  <c r="CM22" i="2"/>
  <c r="Y22" i="2"/>
  <c r="CQ51" i="2"/>
  <c r="BE37" i="2"/>
  <c r="BT22" i="2"/>
  <c r="Z51" i="2"/>
  <c r="DH22" i="2"/>
  <c r="EG22" i="2"/>
  <c r="EU22" i="2"/>
  <c r="S22" i="2"/>
  <c r="AS51" i="2"/>
  <c r="AI37" i="2"/>
  <c r="BS51" i="2"/>
  <c r="EF51" i="2"/>
  <c r="AX51" i="2"/>
  <c r="BQ51" i="2"/>
  <c r="DP51" i="2"/>
  <c r="BF22" i="2"/>
  <c r="DO37" i="2"/>
  <c r="DQ51" i="2"/>
  <c r="BM37" i="2"/>
  <c r="E37" i="2"/>
  <c r="EJ51" i="2"/>
  <c r="DY51" i="2"/>
  <c r="AP37" i="2"/>
  <c r="DS37" i="2"/>
  <c r="BC22" i="2"/>
  <c r="BI22" i="2"/>
  <c r="V37" i="2"/>
  <c r="DC37" i="2"/>
  <c r="AX22" i="2"/>
  <c r="U22" i="2"/>
  <c r="BM51" i="2"/>
  <c r="AN37" i="2"/>
  <c r="BJ37" i="2"/>
  <c r="CT37" i="2"/>
  <c r="ES22" i="2"/>
  <c r="BG22" i="2"/>
  <c r="DA22" i="2"/>
  <c r="ET22" i="2"/>
  <c r="EM51" i="2"/>
  <c r="BY22" i="2"/>
  <c r="EV22" i="2"/>
  <c r="AA22" i="2"/>
  <c r="DM37" i="2"/>
  <c r="AA37" i="2"/>
  <c r="BK51" i="2"/>
  <c r="BB51" i="2"/>
  <c r="CQ37" i="2"/>
  <c r="DG22" i="2"/>
  <c r="AW22" i="2"/>
  <c r="AI51" i="2"/>
  <c r="AR22" i="2"/>
  <c r="BR37" i="2"/>
  <c r="AA51" i="2"/>
  <c r="AH51" i="2"/>
  <c r="BC51" i="2"/>
  <c r="CE51" i="2"/>
  <c r="BR22" i="2"/>
  <c r="AU37" i="2"/>
  <c r="EJ37" i="2"/>
  <c r="X22" i="2"/>
  <c r="DN22" i="2"/>
  <c r="DW22" i="2"/>
  <c r="CW37" i="2"/>
  <c r="AG22" i="2"/>
  <c r="DX22" i="2"/>
  <c r="V51" i="2"/>
  <c r="DH51" i="2"/>
  <c r="E51" i="2"/>
  <c r="BG37" i="2"/>
  <c r="AV37" i="2"/>
  <c r="EA51" i="2"/>
  <c r="AE22" i="2"/>
  <c r="DF37" i="2"/>
  <c r="DR51" i="2"/>
  <c r="ED22" i="2"/>
  <c r="CB37" i="2"/>
  <c r="AK37" i="2"/>
  <c r="DI37" i="2"/>
  <c r="EM22" i="2"/>
  <c r="EZ51" i="2"/>
  <c r="CZ22" i="2"/>
  <c r="CF37" i="2"/>
  <c r="EG37" i="2"/>
  <c r="DU22" i="2"/>
  <c r="CN51" i="2"/>
  <c r="BU22" i="2"/>
  <c r="BW22" i="2"/>
  <c r="EE51" i="2"/>
  <c r="AB37" i="2"/>
  <c r="BX51" i="2"/>
  <c r="ES37" i="2"/>
  <c r="CS22" i="2"/>
  <c r="CA22" i="2"/>
  <c r="CY22" i="2"/>
  <c r="DJ37" i="2"/>
  <c r="DG51" i="2"/>
  <c r="EY37" i="2"/>
  <c r="CZ37" i="2"/>
  <c r="EZ22" i="2"/>
  <c r="CZ51" i="2"/>
  <c r="X37" i="2"/>
  <c r="DF22" i="2"/>
  <c r="CW22" i="2"/>
  <c r="DK51" i="2"/>
  <c r="BR51" i="2"/>
  <c r="DO51" i="2"/>
  <c r="DR37" i="2"/>
  <c r="CU51" i="2"/>
  <c r="DT37" i="2"/>
  <c r="ET51" i="2"/>
  <c r="CB22" i="2"/>
  <c r="CV37" i="2"/>
  <c r="CT51" i="2"/>
  <c r="CK37" i="2"/>
  <c r="Y37" i="2"/>
  <c r="DM22" i="2"/>
  <c r="AM51" i="2"/>
  <c r="CL51" i="2"/>
  <c r="EI37" i="2"/>
  <c r="EW22" i="2"/>
  <c r="AR51" i="2"/>
  <c r="AJ51" i="2"/>
  <c r="DI51" i="2"/>
  <c r="CS51" i="2"/>
  <c r="EK22" i="2"/>
  <c r="DU37" i="2"/>
  <c r="BE22" i="2"/>
  <c r="EE37" i="2"/>
  <c r="BA22" i="2"/>
  <c r="DS22" i="2"/>
  <c r="AU22" i="2"/>
  <c r="EW51" i="2"/>
  <c r="ER22" i="2"/>
  <c r="DS51" i="2"/>
  <c r="AY37" i="2"/>
  <c r="EX22" i="2"/>
  <c r="BT51" i="2"/>
  <c r="EK51" i="2"/>
  <c r="DA51" i="2"/>
  <c r="BP37" i="2"/>
  <c r="EC22" i="2"/>
  <c r="CK51" i="2"/>
  <c r="EX37" i="2"/>
  <c r="BJ51" i="2"/>
  <c r="EO37" i="2"/>
  <c r="Z37" i="2"/>
  <c r="BK37" i="2"/>
  <c r="FA22" i="2"/>
  <c r="AS37" i="2"/>
  <c r="BZ51" i="2"/>
  <c r="CH22" i="2"/>
  <c r="AQ51" i="2"/>
  <c r="EL22" i="2"/>
  <c r="AD51" i="2"/>
  <c r="DV51" i="2"/>
  <c r="EE22" i="2"/>
  <c r="EU51" i="2"/>
  <c r="CU37" i="2"/>
  <c r="CM37" i="2"/>
  <c r="EY51" i="2"/>
  <c r="EH37" i="2"/>
  <c r="AH22" i="2"/>
  <c r="DV37" i="2"/>
  <c r="AD22" i="2"/>
  <c r="EP51" i="2"/>
  <c r="EF37" i="2"/>
  <c r="BQ22" i="2"/>
  <c r="T51" i="2"/>
  <c r="W37" i="2"/>
  <c r="O9" i="2" l="1"/>
  <c r="K9" i="2"/>
  <c r="G9" i="2"/>
  <c r="N9" i="2"/>
  <c r="J9" i="2"/>
  <c r="F9" i="2"/>
  <c r="Q9" i="2"/>
  <c r="M9" i="2"/>
  <c r="I9" i="2"/>
  <c r="E9" i="2"/>
  <c r="K61" i="4" s="1"/>
  <c r="P9" i="2"/>
  <c r="L9" i="2"/>
  <c r="H9" i="2"/>
  <c r="K59" i="4"/>
  <c r="K60" i="4"/>
  <c r="K80" i="4"/>
  <c r="K57" i="4"/>
  <c r="U22" i="3"/>
  <c r="T22" i="3"/>
  <c r="U16" i="3"/>
  <c r="T16" i="3"/>
  <c r="T34" i="3"/>
  <c r="U34" i="3"/>
  <c r="V21" i="3"/>
  <c r="O21" i="3"/>
  <c r="EP7" i="2"/>
  <c r="EP6" i="2" s="1"/>
  <c r="DD7" i="2"/>
  <c r="DD6" i="2" s="1"/>
  <c r="EE7" i="2"/>
  <c r="EE6" i="2" s="1"/>
  <c r="T7" i="2"/>
  <c r="T6" i="2" s="1"/>
  <c r="AV7" i="2"/>
  <c r="AV6" i="2" s="1"/>
  <c r="AY7" i="2"/>
  <c r="AY6" i="2" s="1"/>
  <c r="BD7" i="2"/>
  <c r="BD6" i="2" s="1"/>
  <c r="EI7" i="2"/>
  <c r="EI6" i="2" s="1"/>
  <c r="AK7" i="2"/>
  <c r="AK6" i="2" s="1"/>
  <c r="DX7" i="2"/>
  <c r="DX6" i="2" s="1"/>
  <c r="DI7" i="2"/>
  <c r="DI6" i="2" s="1"/>
  <c r="BZ7" i="2"/>
  <c r="BZ6" i="2" s="1"/>
  <c r="AU7" i="2"/>
  <c r="AU6" i="2" s="1"/>
  <c r="AA7" i="2"/>
  <c r="AA6" i="2" s="1"/>
  <c r="AS7" i="2"/>
  <c r="AS6" i="2" s="1"/>
  <c r="EQ7" i="2"/>
  <c r="EQ6" i="2" s="1"/>
  <c r="AG7" i="2"/>
  <c r="AG6" i="2" s="1"/>
  <c r="CU7" i="2"/>
  <c r="CU6" i="2" s="1"/>
  <c r="DC7" i="2"/>
  <c r="DC6" i="2" s="1"/>
  <c r="DS7" i="2"/>
  <c r="DS6" i="2" s="1"/>
  <c r="EL7" i="2"/>
  <c r="EL6" i="2" s="1"/>
  <c r="EV7" i="2"/>
  <c r="EV6" i="2" s="1"/>
  <c r="AZ7" i="2"/>
  <c r="AZ6" i="2" s="1"/>
  <c r="BS7" i="2"/>
  <c r="BS6" i="2" s="1"/>
  <c r="BB7" i="2"/>
  <c r="BB6" i="2" s="1"/>
  <c r="BA7" i="2"/>
  <c r="BA6" i="2" s="1"/>
  <c r="BY7" i="2"/>
  <c r="BY6" i="2" s="1"/>
  <c r="CO7" i="2"/>
  <c r="CO6" i="2" s="1"/>
  <c r="DW7" i="2"/>
  <c r="DW6" i="2" s="1"/>
  <c r="W7" i="2"/>
  <c r="W6" i="2" s="1"/>
  <c r="DU7" i="2"/>
  <c r="DU6" i="2" s="1"/>
  <c r="CV7" i="2"/>
  <c r="CV6" i="2" s="1"/>
  <c r="BF7" i="2"/>
  <c r="BF6" i="2" s="1"/>
  <c r="EM7" i="2"/>
  <c r="EM6" i="2" s="1"/>
  <c r="CH7" i="2"/>
  <c r="CH6" i="2" s="1"/>
  <c r="DE7" i="2"/>
  <c r="DE6" i="2" s="1"/>
  <c r="BO7" i="2"/>
  <c r="BO6" i="2" s="1"/>
  <c r="DN7" i="2"/>
  <c r="DN6" i="2" s="1"/>
  <c r="CL7" i="2"/>
  <c r="CL6" i="2" s="1"/>
  <c r="DT7" i="2"/>
  <c r="DT6" i="2" s="1"/>
  <c r="BQ7" i="2"/>
  <c r="BQ6" i="2" s="1"/>
  <c r="AB7" i="2"/>
  <c r="AB6" i="2" s="1"/>
  <c r="BE7" i="2"/>
  <c r="BE6" i="2" s="1"/>
  <c r="ET7" i="2"/>
  <c r="ET6" i="2" s="1"/>
  <c r="X7" i="2"/>
  <c r="X6" i="2" s="1"/>
  <c r="CW7" i="2"/>
  <c r="CW6" i="2" s="1"/>
  <c r="DA7" i="2"/>
  <c r="DA6" i="2" s="1"/>
  <c r="DF7" i="2"/>
  <c r="DF6" i="2" s="1"/>
  <c r="CR7" i="2"/>
  <c r="CR6" i="2" s="1"/>
  <c r="EK7" i="2"/>
  <c r="EK6" i="2" s="1"/>
  <c r="FA7" i="2"/>
  <c r="FA6" i="2" s="1"/>
  <c r="BG7" i="2"/>
  <c r="BG6" i="2" s="1"/>
  <c r="EY7" i="2"/>
  <c r="EY6" i="2" s="1"/>
  <c r="DJ7" i="2"/>
  <c r="DJ6" i="2" s="1"/>
  <c r="CE7" i="2"/>
  <c r="CE6" i="2" s="1"/>
  <c r="ES7" i="2"/>
  <c r="ES6" i="2" s="1"/>
  <c r="CD7" i="2"/>
  <c r="CD6" i="2" s="1"/>
  <c r="DQ7" i="2"/>
  <c r="DQ6" i="2" s="1"/>
  <c r="AJ7" i="2"/>
  <c r="AJ6" i="2" s="1"/>
  <c r="BR7" i="2"/>
  <c r="BR6" i="2" s="1"/>
  <c r="V7" i="2"/>
  <c r="V6" i="2" s="1"/>
  <c r="EZ7" i="2"/>
  <c r="EZ6" i="2" s="1"/>
  <c r="CK7" i="2"/>
  <c r="CK6" i="2" s="1"/>
  <c r="DR7" i="2"/>
  <c r="DR6" i="2" s="1"/>
  <c r="BP7" i="2"/>
  <c r="BP6" i="2" s="1"/>
  <c r="EH7" i="2"/>
  <c r="EH6" i="2" s="1"/>
  <c r="BJ7" i="2"/>
  <c r="BJ6" i="2" s="1"/>
  <c r="BN7" i="2"/>
  <c r="BN6" i="2" s="1"/>
  <c r="EA7" i="2"/>
  <c r="EA6" i="2" s="1"/>
  <c r="EF7" i="2"/>
  <c r="EF6" i="2" s="1"/>
  <c r="BK7" i="2"/>
  <c r="BK6" i="2" s="1"/>
  <c r="EW7" i="2"/>
  <c r="EW6" i="2" s="1"/>
  <c r="S7" i="2"/>
  <c r="S6" i="2" s="1"/>
  <c r="DY7" i="2"/>
  <c r="DY6" i="2" s="1"/>
  <c r="AQ7" i="2"/>
  <c r="AQ6" i="2" s="1"/>
  <c r="AP7" i="2"/>
  <c r="AP6" i="2" s="1"/>
  <c r="AM7" i="2"/>
  <c r="AM6" i="2" s="1"/>
  <c r="EU7" i="2"/>
  <c r="EU6" i="2" s="1"/>
  <c r="U7" i="2"/>
  <c r="U6" i="2" s="1"/>
  <c r="Z7" i="2"/>
  <c r="Z6" i="2" s="1"/>
  <c r="EG7" i="2"/>
  <c r="EG6" i="2" s="1"/>
  <c r="DO7" i="2"/>
  <c r="DO6" i="2" s="1"/>
  <c r="EC7" i="2"/>
  <c r="EC6" i="2" s="1"/>
  <c r="AX7" i="2"/>
  <c r="AX6" i="2" s="1"/>
  <c r="EB7" i="2"/>
  <c r="EB6" i="2" s="1"/>
  <c r="DV7" i="2"/>
  <c r="DV6" i="2" s="1"/>
  <c r="CY7" i="2"/>
  <c r="CY6" i="2" s="1"/>
  <c r="DH7" i="2"/>
  <c r="DH6" i="2" s="1"/>
  <c r="AR7" i="2"/>
  <c r="AR6" i="2" s="1"/>
  <c r="CF7" i="2"/>
  <c r="CF6" i="2" s="1"/>
  <c r="CG7" i="2"/>
  <c r="CG6" i="2" s="1"/>
  <c r="CA7" i="2"/>
  <c r="CA6" i="2" s="1"/>
  <c r="AD7" i="2"/>
  <c r="AD6" i="2" s="1"/>
  <c r="AN7" i="2"/>
  <c r="AN6" i="2" s="1"/>
  <c r="DM7" i="2"/>
  <c r="DM6" i="2" s="1"/>
  <c r="ED7" i="2"/>
  <c r="ED6" i="2" s="1"/>
  <c r="DK7" i="2"/>
  <c r="DK6" i="2" s="1"/>
  <c r="DB7" i="2"/>
  <c r="DB6" i="2" s="1"/>
  <c r="AO7" i="2"/>
  <c r="AO6" i="2" s="1"/>
  <c r="EJ7" i="2"/>
  <c r="EJ6" i="2" s="1"/>
  <c r="CP7" i="2"/>
  <c r="CP6" i="2" s="1"/>
  <c r="CS7" i="2"/>
  <c r="CS6" i="2" s="1"/>
  <c r="CZ7" i="2"/>
  <c r="CZ6" i="2" s="1"/>
  <c r="BT7" i="2"/>
  <c r="BT6" i="2" s="1"/>
  <c r="BI7" i="2"/>
  <c r="BI6" i="2" s="1"/>
  <c r="AW7" i="2"/>
  <c r="AW6" i="2" s="1"/>
  <c r="BM7" i="2"/>
  <c r="BM6" i="2" s="1"/>
  <c r="BC7" i="2"/>
  <c r="BC6" i="2" s="1"/>
  <c r="CQ7" i="2"/>
  <c r="CQ6" i="2" s="1"/>
  <c r="DG7" i="2"/>
  <c r="DG6" i="2" s="1"/>
  <c r="CI7" i="2"/>
  <c r="CI6" i="2" s="1"/>
  <c r="AH7" i="2"/>
  <c r="AH6" i="2" s="1"/>
  <c r="AE7" i="2"/>
  <c r="AE6" i="2" s="1"/>
  <c r="EX7" i="2"/>
  <c r="EX6" i="2" s="1"/>
  <c r="BX7" i="2"/>
  <c r="BX6" i="2" s="1"/>
  <c r="Y7" i="2"/>
  <c r="Y6" i="2" s="1"/>
  <c r="EO7" i="2"/>
  <c r="EO6" i="2" s="1"/>
  <c r="DP7" i="2"/>
  <c r="DP6" i="2" s="1"/>
  <c r="CN7" i="2"/>
  <c r="CN6" i="2" s="1"/>
  <c r="AI7" i="2"/>
  <c r="AI6" i="2" s="1"/>
  <c r="CB7" i="2"/>
  <c r="CB6" i="2" s="1"/>
  <c r="CM7" i="2"/>
  <c r="CM6" i="2" s="1"/>
  <c r="CT7" i="2"/>
  <c r="CT6" i="2" s="1"/>
  <c r="BW7" i="2"/>
  <c r="BW6" i="2" s="1"/>
  <c r="ER7" i="2"/>
  <c r="ER6" i="2" s="1"/>
  <c r="AL7" i="2"/>
  <c r="AL6" i="2" s="1"/>
  <c r="AC7" i="2"/>
  <c r="AC6" i="2" s="1"/>
  <c r="CC7" i="2"/>
  <c r="CC6" i="2" s="1"/>
  <c r="BU7" i="2"/>
  <c r="BU6" i="2" s="1"/>
  <c r="BL7" i="2"/>
  <c r="BL6" i="2" s="1"/>
  <c r="M16" i="3"/>
  <c r="N16" i="3"/>
  <c r="M34" i="3"/>
  <c r="V34" i="3" s="1"/>
  <c r="N34" i="3"/>
  <c r="Q33" i="3"/>
  <c r="O33" i="3"/>
  <c r="M22" i="3"/>
  <c r="V22" i="3" s="1"/>
  <c r="N22" i="3"/>
  <c r="O15" i="3"/>
  <c r="Q15" i="3"/>
  <c r="D35" i="3"/>
  <c r="I34" i="3"/>
  <c r="K34" i="3" s="1"/>
  <c r="D17" i="3"/>
  <c r="I17" i="3" s="1"/>
  <c r="K17" i="3" s="1"/>
  <c r="I16" i="3"/>
  <c r="K16" i="3" s="1"/>
  <c r="D23" i="3"/>
  <c r="I22" i="3"/>
  <c r="K22" i="3" s="1"/>
  <c r="Q51" i="2"/>
  <c r="Q37" i="2"/>
  <c r="S5" i="2"/>
  <c r="AE9" i="2" s="1"/>
  <c r="F7" i="2"/>
  <c r="F6" i="2" s="1"/>
  <c r="N7" i="2"/>
  <c r="N6" i="2" s="1"/>
  <c r="I7" i="2"/>
  <c r="I6" i="2" s="1"/>
  <c r="L7" i="2"/>
  <c r="L6" i="2" s="1"/>
  <c r="J7" i="2"/>
  <c r="J6" i="2" s="1"/>
  <c r="H7" i="2"/>
  <c r="H6" i="2" s="1"/>
  <c r="G7" i="2"/>
  <c r="G6" i="2" s="1"/>
  <c r="M7" i="2"/>
  <c r="M6" i="2" s="1"/>
  <c r="K7" i="2"/>
  <c r="K6" i="2" s="1"/>
  <c r="O7" i="2"/>
  <c r="O6" i="2" s="1"/>
  <c r="P7" i="2"/>
  <c r="P6" i="2" s="1"/>
  <c r="E7" i="2"/>
  <c r="E6" i="2" s="1"/>
  <c r="J40" i="2"/>
  <c r="Q40" i="2"/>
  <c r="I40" i="2"/>
  <c r="N40" i="2"/>
  <c r="F40" i="2"/>
  <c r="M40" i="2"/>
  <c r="E40" i="2"/>
  <c r="P40" i="2"/>
  <c r="L40" i="2"/>
  <c r="H40" i="2"/>
  <c r="O40" i="2"/>
  <c r="K40" i="2"/>
  <c r="G40" i="2"/>
  <c r="E25" i="2"/>
  <c r="G25" i="2"/>
  <c r="J25" i="2"/>
  <c r="F25" i="2"/>
  <c r="Q25" i="2"/>
  <c r="H25" i="2"/>
  <c r="I25" i="2"/>
  <c r="P25" i="2"/>
  <c r="L25" i="2"/>
  <c r="M25" i="2"/>
  <c r="N25" i="2"/>
  <c r="K25" i="2"/>
  <c r="O25" i="2"/>
  <c r="W15" i="3"/>
  <c r="P15" i="3"/>
  <c r="W14" i="3"/>
  <c r="P14" i="3"/>
  <c r="K65" i="4" l="1"/>
  <c r="L65" i="4" s="1"/>
  <c r="L17" i="3"/>
  <c r="K76" i="4"/>
  <c r="L76" i="4" s="1"/>
  <c r="K81" i="4"/>
  <c r="L81" i="4" s="1"/>
  <c r="L37" i="3"/>
  <c r="K68" i="4"/>
  <c r="M68" i="4" s="1"/>
  <c r="K55" i="4"/>
  <c r="P55" i="4" s="1"/>
  <c r="K63" i="4"/>
  <c r="L63" i="4" s="1"/>
  <c r="K64" i="4"/>
  <c r="L64" i="4" s="1"/>
  <c r="K72" i="4"/>
  <c r="L72" i="4" s="1"/>
  <c r="K101" i="4"/>
  <c r="M101" i="4" s="1"/>
  <c r="K56" i="4"/>
  <c r="M56" i="4" s="1"/>
  <c r="K79" i="4"/>
  <c r="L79" i="4" s="1"/>
  <c r="K92" i="4"/>
  <c r="M92" i="4" s="1"/>
  <c r="K75" i="4"/>
  <c r="L75" i="4" s="1"/>
  <c r="K91" i="4"/>
  <c r="M91" i="4" s="1"/>
  <c r="K73" i="4"/>
  <c r="P73" i="4" s="1"/>
  <c r="K69" i="4"/>
  <c r="P69" i="4" s="1"/>
  <c r="K77" i="4"/>
  <c r="P77" i="4" s="1"/>
  <c r="K67" i="4"/>
  <c r="P67" i="4" s="1"/>
  <c r="K71" i="4"/>
  <c r="M71" i="4" s="1"/>
  <c r="K89" i="4"/>
  <c r="L89" i="4" s="1"/>
  <c r="K96" i="4"/>
  <c r="P96" i="4" s="1"/>
  <c r="K83" i="4"/>
  <c r="L83" i="4" s="1"/>
  <c r="K93" i="4"/>
  <c r="L93" i="4" s="1"/>
  <c r="K84" i="4"/>
  <c r="M84" i="4" s="1"/>
  <c r="K97" i="4"/>
  <c r="M97" i="4" s="1"/>
  <c r="L29" i="3"/>
  <c r="K95" i="4"/>
  <c r="L95" i="4" s="1"/>
  <c r="K100" i="4"/>
  <c r="M100" i="4" s="1"/>
  <c r="L14" i="3"/>
  <c r="L23" i="3"/>
  <c r="L36" i="3"/>
  <c r="L33" i="3"/>
  <c r="L15" i="3"/>
  <c r="L34" i="3"/>
  <c r="L25" i="3"/>
  <c r="L22" i="3"/>
  <c r="L35" i="3"/>
  <c r="L20" i="3"/>
  <c r="L16" i="3"/>
  <c r="L26" i="3"/>
  <c r="L32" i="3"/>
  <c r="L28" i="3"/>
  <c r="L24" i="3"/>
  <c r="L27" i="3"/>
  <c r="L21" i="3"/>
  <c r="K87" i="4"/>
  <c r="L87" i="4" s="1"/>
  <c r="K85" i="4"/>
  <c r="P85" i="4" s="1"/>
  <c r="K88" i="4"/>
  <c r="L88" i="4" s="1"/>
  <c r="K99" i="4"/>
  <c r="M99" i="4" s="1"/>
  <c r="M60" i="4"/>
  <c r="P60" i="4"/>
  <c r="L60" i="4"/>
  <c r="L61" i="4"/>
  <c r="M61" i="4"/>
  <c r="P61" i="4"/>
  <c r="M80" i="4"/>
  <c r="P80" i="4"/>
  <c r="L80" i="4"/>
  <c r="P59" i="4"/>
  <c r="M59" i="4"/>
  <c r="L59" i="4"/>
  <c r="M57" i="4"/>
  <c r="P57" i="4"/>
  <c r="L57" i="4"/>
  <c r="V16" i="3"/>
  <c r="U23" i="3"/>
  <c r="T23" i="3"/>
  <c r="T35" i="3"/>
  <c r="U35" i="3"/>
  <c r="N23" i="3"/>
  <c r="M23" i="3"/>
  <c r="M35" i="3"/>
  <c r="V35" i="3" s="1"/>
  <c r="N35" i="3"/>
  <c r="O22" i="3"/>
  <c r="Q22" i="3"/>
  <c r="O34" i="3"/>
  <c r="Q34" i="3"/>
  <c r="O16" i="3"/>
  <c r="Q16" i="3"/>
  <c r="D36" i="3"/>
  <c r="I35" i="3"/>
  <c r="K35" i="3" s="1"/>
  <c r="D24" i="3"/>
  <c r="I23" i="3"/>
  <c r="K23" i="3" s="1"/>
  <c r="Q7" i="2"/>
  <c r="Q6" i="2" s="1"/>
  <c r="AA40" i="2"/>
  <c r="S25" i="2"/>
  <c r="AA9" i="2"/>
  <c r="AD40" i="2"/>
  <c r="W40" i="2"/>
  <c r="AE25" i="2"/>
  <c r="W9" i="2"/>
  <c r="S40" i="2"/>
  <c r="AA25" i="2"/>
  <c r="S9" i="2"/>
  <c r="AG5" i="2"/>
  <c r="AS9" i="2" s="1"/>
  <c r="AE40" i="2"/>
  <c r="W25" i="2"/>
  <c r="T9" i="2"/>
  <c r="AB25" i="2"/>
  <c r="X9" i="2"/>
  <c r="U25" i="2"/>
  <c r="Y40" i="2"/>
  <c r="AD9" i="2"/>
  <c r="V40" i="2"/>
  <c r="AB9" i="2"/>
  <c r="T40" i="2"/>
  <c r="U9" i="2"/>
  <c r="Y25" i="2"/>
  <c r="AC40" i="2"/>
  <c r="V25" i="2"/>
  <c r="Z40" i="2"/>
  <c r="AB40" i="2"/>
  <c r="AC9" i="2"/>
  <c r="Z9" i="2"/>
  <c r="T25" i="2"/>
  <c r="X40" i="2"/>
  <c r="Y9" i="2"/>
  <c r="AC25" i="2"/>
  <c r="V9" i="2"/>
  <c r="Z25" i="2"/>
  <c r="X25" i="2"/>
  <c r="U40" i="2"/>
  <c r="AD25" i="2"/>
  <c r="R20" i="3"/>
  <c r="R33" i="3"/>
  <c r="R14" i="3"/>
  <c r="R15" i="3"/>
  <c r="R32" i="3"/>
  <c r="R21" i="3"/>
  <c r="W16" i="3"/>
  <c r="R16" i="3"/>
  <c r="R22" i="3"/>
  <c r="R34" i="3"/>
  <c r="P16" i="3"/>
  <c r="M64" i="4" l="1"/>
  <c r="M67" i="4"/>
  <c r="M79" i="4"/>
  <c r="M65" i="4"/>
  <c r="P79" i="4"/>
  <c r="M73" i="4"/>
  <c r="P64" i="4"/>
  <c r="P65" i="4"/>
  <c r="L71" i="4"/>
  <c r="N71" i="4" s="1"/>
  <c r="L73" i="4"/>
  <c r="Q73" i="4" s="1"/>
  <c r="M95" i="4"/>
  <c r="P71" i="4"/>
  <c r="P68" i="4"/>
  <c r="L68" i="4"/>
  <c r="O68" i="4" s="1"/>
  <c r="M77" i="4"/>
  <c r="P95" i="4"/>
  <c r="P93" i="4"/>
  <c r="M93" i="4"/>
  <c r="M81" i="4"/>
  <c r="M85" i="4"/>
  <c r="L85" i="4"/>
  <c r="N85" i="4" s="1"/>
  <c r="P76" i="4"/>
  <c r="P101" i="4"/>
  <c r="M76" i="4"/>
  <c r="M55" i="4"/>
  <c r="P81" i="4"/>
  <c r="P91" i="4"/>
  <c r="L56" i="4"/>
  <c r="O56" i="4" s="1"/>
  <c r="P56" i="4"/>
  <c r="P63" i="4"/>
  <c r="M63" i="4"/>
  <c r="L55" i="4"/>
  <c r="Q55" i="4" s="1"/>
  <c r="M75" i="4"/>
  <c r="P97" i="4"/>
  <c r="M72" i="4"/>
  <c r="M96" i="4"/>
  <c r="P88" i="4"/>
  <c r="P92" i="4"/>
  <c r="P72" i="4"/>
  <c r="P87" i="4"/>
  <c r="L92" i="4"/>
  <c r="N92" i="4" s="1"/>
  <c r="P89" i="4"/>
  <c r="P84" i="4"/>
  <c r="L69" i="4"/>
  <c r="Q69" i="4" s="1"/>
  <c r="P75" i="4"/>
  <c r="L77" i="4"/>
  <c r="Q77" i="4" s="1"/>
  <c r="L91" i="4"/>
  <c r="Q91" i="4" s="1"/>
  <c r="L96" i="4"/>
  <c r="R96" i="4" s="1"/>
  <c r="L101" i="4"/>
  <c r="R101" i="4" s="1"/>
  <c r="L67" i="4"/>
  <c r="R67" i="4" s="1"/>
  <c r="M83" i="4"/>
  <c r="L99" i="4"/>
  <c r="N99" i="4" s="1"/>
  <c r="P100" i="4"/>
  <c r="L84" i="4"/>
  <c r="R84" i="4" s="1"/>
  <c r="M88" i="4"/>
  <c r="M69" i="4"/>
  <c r="M89" i="4"/>
  <c r="L100" i="4"/>
  <c r="R100" i="4" s="1"/>
  <c r="S15" i="3"/>
  <c r="S14" i="3"/>
  <c r="P83" i="4"/>
  <c r="M87" i="4"/>
  <c r="L97" i="4"/>
  <c r="N97" i="4" s="1"/>
  <c r="P99" i="4"/>
  <c r="R81" i="4"/>
  <c r="O81" i="4"/>
  <c r="N81" i="4"/>
  <c r="Q81" i="4"/>
  <c r="Q76" i="4"/>
  <c r="N76" i="4"/>
  <c r="R76" i="4"/>
  <c r="O76" i="4"/>
  <c r="Q93" i="4"/>
  <c r="N93" i="4"/>
  <c r="O93" i="4"/>
  <c r="R93" i="4"/>
  <c r="R71" i="4"/>
  <c r="Q60" i="4"/>
  <c r="N60" i="4"/>
  <c r="R60" i="4"/>
  <c r="O60" i="4"/>
  <c r="O64" i="4"/>
  <c r="Q64" i="4"/>
  <c r="R64" i="4"/>
  <c r="N64" i="4"/>
  <c r="Q59" i="4"/>
  <c r="N59" i="4"/>
  <c r="R59" i="4"/>
  <c r="O59" i="4"/>
  <c r="R95" i="4"/>
  <c r="N95" i="4"/>
  <c r="Q95" i="4"/>
  <c r="O95" i="4"/>
  <c r="N72" i="4"/>
  <c r="R72" i="4"/>
  <c r="Q72" i="4"/>
  <c r="O72" i="4"/>
  <c r="O80" i="4"/>
  <c r="Q80" i="4"/>
  <c r="R80" i="4"/>
  <c r="N80" i="4"/>
  <c r="N88" i="4"/>
  <c r="R88" i="4"/>
  <c r="Q88" i="4"/>
  <c r="O88" i="4"/>
  <c r="Q61" i="4"/>
  <c r="O61" i="4"/>
  <c r="N61" i="4"/>
  <c r="R61" i="4"/>
  <c r="O63" i="4"/>
  <c r="N63" i="4"/>
  <c r="Q63" i="4"/>
  <c r="R63" i="4"/>
  <c r="Q75" i="4"/>
  <c r="N75" i="4"/>
  <c r="R75" i="4"/>
  <c r="O75" i="4"/>
  <c r="R83" i="4"/>
  <c r="O83" i="4"/>
  <c r="Q83" i="4"/>
  <c r="N83" i="4"/>
  <c r="O87" i="4"/>
  <c r="Q87" i="4"/>
  <c r="R87" i="4"/>
  <c r="N87" i="4"/>
  <c r="O65" i="4"/>
  <c r="N65" i="4"/>
  <c r="Q65" i="4"/>
  <c r="R65" i="4"/>
  <c r="R79" i="4"/>
  <c r="O79" i="4"/>
  <c r="Q79" i="4"/>
  <c r="N79" i="4"/>
  <c r="O89" i="4"/>
  <c r="Q89" i="4"/>
  <c r="R89" i="4"/>
  <c r="N89" i="4"/>
  <c r="R57" i="4"/>
  <c r="Q57" i="4"/>
  <c r="N57" i="4"/>
  <c r="O57" i="4"/>
  <c r="T24" i="3"/>
  <c r="U24" i="3"/>
  <c r="T36" i="3"/>
  <c r="U36" i="3"/>
  <c r="V23" i="3"/>
  <c r="S16" i="3"/>
  <c r="N24" i="3"/>
  <c r="M24" i="3"/>
  <c r="N36" i="3"/>
  <c r="M36" i="3"/>
  <c r="O35" i="3"/>
  <c r="Q35" i="3"/>
  <c r="Q23" i="3"/>
  <c r="O23" i="3"/>
  <c r="D37" i="3"/>
  <c r="I37" i="3" s="1"/>
  <c r="K37" i="3" s="1"/>
  <c r="I36" i="3"/>
  <c r="K36" i="3" s="1"/>
  <c r="D25" i="3"/>
  <c r="I24" i="3"/>
  <c r="K24" i="3" s="1"/>
  <c r="AR40" i="2"/>
  <c r="AS40" i="2"/>
  <c r="AK25" i="2"/>
  <c r="AK9" i="2"/>
  <c r="AU5" i="2"/>
  <c r="BG9" i="2" s="1"/>
  <c r="AO40" i="2"/>
  <c r="AG25" i="2"/>
  <c r="AR9" i="2"/>
  <c r="AJ9" i="2"/>
  <c r="AK40" i="2"/>
  <c r="AS25" i="2"/>
  <c r="AO9" i="2"/>
  <c r="AG9" i="2"/>
  <c r="AG40" i="2"/>
  <c r="AO25" i="2"/>
  <c r="AN9" i="2"/>
  <c r="AH9" i="2"/>
  <c r="AL25" i="2"/>
  <c r="AP40" i="2"/>
  <c r="AI25" i="2"/>
  <c r="AM40" i="2"/>
  <c r="AR25" i="2"/>
  <c r="AL9" i="2"/>
  <c r="AP25" i="2"/>
  <c r="AI9" i="2"/>
  <c r="AM25" i="2"/>
  <c r="AQ40" i="2"/>
  <c r="AJ40" i="2"/>
  <c r="AQ9" i="2"/>
  <c r="AP9" i="2"/>
  <c r="AH40" i="2"/>
  <c r="AM9" i="2"/>
  <c r="AQ25" i="2"/>
  <c r="AJ25" i="2"/>
  <c r="AN40" i="2"/>
  <c r="AI40" i="2"/>
  <c r="AH25" i="2"/>
  <c r="AL40" i="2"/>
  <c r="AN25" i="2"/>
  <c r="W33" i="3"/>
  <c r="P35" i="3"/>
  <c r="P34" i="3"/>
  <c r="P32" i="3"/>
  <c r="W32" i="3"/>
  <c r="P33" i="3"/>
  <c r="W34" i="3"/>
  <c r="W35" i="3"/>
  <c r="R35" i="3"/>
  <c r="R23" i="3"/>
  <c r="Q71" i="4" l="1"/>
  <c r="O71" i="4"/>
  <c r="R85" i="4"/>
  <c r="R73" i="4"/>
  <c r="Q68" i="4"/>
  <c r="N73" i="4"/>
  <c r="N68" i="4"/>
  <c r="O73" i="4"/>
  <c r="R68" i="4"/>
  <c r="Q85" i="4"/>
  <c r="O85" i="4"/>
  <c r="Q99" i="4"/>
  <c r="O91" i="4"/>
  <c r="N56" i="4"/>
  <c r="N55" i="4"/>
  <c r="O55" i="4"/>
  <c r="O69" i="4"/>
  <c r="R56" i="4"/>
  <c r="Q96" i="4"/>
  <c r="N69" i="4"/>
  <c r="Q56" i="4"/>
  <c r="O96" i="4"/>
  <c r="R99" i="4"/>
  <c r="R92" i="4"/>
  <c r="R55" i="4"/>
  <c r="N96" i="4"/>
  <c r="O101" i="4"/>
  <c r="R69" i="4"/>
  <c r="O99" i="4"/>
  <c r="Q101" i="4"/>
  <c r="Q92" i="4"/>
  <c r="N91" i="4"/>
  <c r="O97" i="4"/>
  <c r="Q84" i="4"/>
  <c r="R91" i="4"/>
  <c r="R97" i="4"/>
  <c r="R77" i="4"/>
  <c r="O92" i="4"/>
  <c r="N67" i="4"/>
  <c r="Q67" i="4"/>
  <c r="N77" i="4"/>
  <c r="N84" i="4"/>
  <c r="Q100" i="4"/>
  <c r="O100" i="4"/>
  <c r="N100" i="4"/>
  <c r="O67" i="4"/>
  <c r="N101" i="4"/>
  <c r="O77" i="4"/>
  <c r="O84" i="4"/>
  <c r="Q97" i="4"/>
  <c r="V24" i="3"/>
  <c r="V36" i="3"/>
  <c r="T25" i="3"/>
  <c r="U25" i="3"/>
  <c r="S35" i="3"/>
  <c r="S34" i="3"/>
  <c r="S32" i="3"/>
  <c r="S33" i="3"/>
  <c r="O36" i="3"/>
  <c r="Q36" i="3"/>
  <c r="M25" i="3"/>
  <c r="V25" i="3" s="1"/>
  <c r="N25" i="3"/>
  <c r="O24" i="3"/>
  <c r="Q24" i="3"/>
  <c r="D26" i="3"/>
  <c r="I25" i="3"/>
  <c r="K25" i="3" s="1"/>
  <c r="BF40" i="2"/>
  <c r="AY40" i="2"/>
  <c r="BG25" i="2"/>
  <c r="BC9" i="2"/>
  <c r="AU9" i="2"/>
  <c r="AU40" i="2"/>
  <c r="BC25" i="2"/>
  <c r="BB9" i="2"/>
  <c r="BG40" i="2"/>
  <c r="AY25" i="2"/>
  <c r="AY9" i="2"/>
  <c r="BI5" i="2"/>
  <c r="BU9" i="2" s="1"/>
  <c r="BC40" i="2"/>
  <c r="AU25" i="2"/>
  <c r="BF9" i="2"/>
  <c r="AX9" i="2"/>
  <c r="AV9" i="2"/>
  <c r="AZ25" i="2"/>
  <c r="BD40" i="2"/>
  <c r="AW25" i="2"/>
  <c r="BA40" i="2"/>
  <c r="BF25" i="2"/>
  <c r="AZ9" i="2"/>
  <c r="BD25" i="2"/>
  <c r="AW9" i="2"/>
  <c r="BA25" i="2"/>
  <c r="BE40" i="2"/>
  <c r="AX40" i="2"/>
  <c r="BD9" i="2"/>
  <c r="AV40" i="2"/>
  <c r="BA9" i="2"/>
  <c r="BE25" i="2"/>
  <c r="AX25" i="2"/>
  <c r="BB40" i="2"/>
  <c r="AV25" i="2"/>
  <c r="AZ40" i="2"/>
  <c r="BE9" i="2"/>
  <c r="AW40" i="2"/>
  <c r="BB25" i="2"/>
  <c r="R36" i="3"/>
  <c r="R24" i="3"/>
  <c r="W36" i="3"/>
  <c r="P36" i="3"/>
  <c r="T26" i="3" l="1"/>
  <c r="U26" i="3"/>
  <c r="X14" i="3"/>
  <c r="X15" i="3"/>
  <c r="S36" i="3"/>
  <c r="N26" i="3"/>
  <c r="M26" i="3"/>
  <c r="O25" i="3"/>
  <c r="Q25" i="3"/>
  <c r="D27" i="3"/>
  <c r="I26" i="3"/>
  <c r="K26" i="3" s="1"/>
  <c r="BT40" i="2"/>
  <c r="BI40" i="2"/>
  <c r="BQ25" i="2"/>
  <c r="BQ9" i="2"/>
  <c r="BL9" i="2"/>
  <c r="BU40" i="2"/>
  <c r="BM25" i="2"/>
  <c r="BP9" i="2"/>
  <c r="BK9" i="2"/>
  <c r="BW5" i="2"/>
  <c r="CI9" i="2" s="1"/>
  <c r="BQ40" i="2"/>
  <c r="BI25" i="2"/>
  <c r="BT9" i="2"/>
  <c r="BO9" i="2"/>
  <c r="BI9" i="2"/>
  <c r="BM40" i="2"/>
  <c r="BU25" i="2"/>
  <c r="BS9" i="2"/>
  <c r="BM9" i="2"/>
  <c r="BN9" i="2"/>
  <c r="BR25" i="2"/>
  <c r="BK25" i="2"/>
  <c r="BO40" i="2"/>
  <c r="BT25" i="2"/>
  <c r="BR9" i="2"/>
  <c r="BJ40" i="2"/>
  <c r="BO25" i="2"/>
  <c r="BS40" i="2"/>
  <c r="BL40" i="2"/>
  <c r="BJ25" i="2"/>
  <c r="BN40" i="2"/>
  <c r="BS25" i="2"/>
  <c r="BL25" i="2"/>
  <c r="BP40" i="2"/>
  <c r="BJ9" i="2"/>
  <c r="BN25" i="2"/>
  <c r="BR40" i="2"/>
  <c r="BK40" i="2"/>
  <c r="BP25" i="2"/>
  <c r="R25" i="3"/>
  <c r="V26" i="3" l="1"/>
  <c r="U27" i="3"/>
  <c r="T27" i="3"/>
  <c r="F35" i="4"/>
  <c r="X16" i="3"/>
  <c r="Y19" i="3" s="1"/>
  <c r="Q26" i="3"/>
  <c r="O26" i="3"/>
  <c r="M27" i="3"/>
  <c r="N27" i="3"/>
  <c r="D28" i="3"/>
  <c r="I27" i="3"/>
  <c r="K27" i="3" s="1"/>
  <c r="CH40" i="2"/>
  <c r="CA40" i="2"/>
  <c r="CI25" i="2"/>
  <c r="CD25" i="2"/>
  <c r="BY25" i="2"/>
  <c r="CD9" i="2"/>
  <c r="BY9" i="2"/>
  <c r="BW40" i="2"/>
  <c r="CH25" i="2"/>
  <c r="CC25" i="2"/>
  <c r="BW25" i="2"/>
  <c r="CH9" i="2"/>
  <c r="CC9" i="2"/>
  <c r="BW9" i="2"/>
  <c r="CI40" i="2"/>
  <c r="CG25" i="2"/>
  <c r="CA25" i="2"/>
  <c r="CG9" i="2"/>
  <c r="CA9" i="2"/>
  <c r="CK5" i="2"/>
  <c r="CW9" i="2" s="1"/>
  <c r="CE40" i="2"/>
  <c r="CE25" i="2"/>
  <c r="BZ25" i="2"/>
  <c r="CE9" i="2"/>
  <c r="BZ9" i="2"/>
  <c r="BX9" i="2"/>
  <c r="CB25" i="2"/>
  <c r="CF40" i="2"/>
  <c r="BZ40" i="2"/>
  <c r="CB9" i="2"/>
  <c r="CF25" i="2"/>
  <c r="BY40" i="2"/>
  <c r="CD40" i="2"/>
  <c r="CF9" i="2"/>
  <c r="BX40" i="2"/>
  <c r="CC40" i="2"/>
  <c r="BX25" i="2"/>
  <c r="CB40" i="2"/>
  <c r="CG40" i="2"/>
  <c r="R26" i="3"/>
  <c r="V27" i="3" l="1"/>
  <c r="T28" i="3"/>
  <c r="U28" i="3"/>
  <c r="AJ16" i="3"/>
  <c r="E35" i="4"/>
  <c r="AI16" i="3" s="1"/>
  <c r="F41" i="4"/>
  <c r="AA17" i="3"/>
  <c r="Y17" i="3"/>
  <c r="Z17" i="3"/>
  <c r="X33" i="3"/>
  <c r="X34" i="3"/>
  <c r="X32" i="3"/>
  <c r="X35" i="3"/>
  <c r="Q27" i="3"/>
  <c r="O27" i="3"/>
  <c r="M28" i="3"/>
  <c r="N28" i="3"/>
  <c r="D29" i="3"/>
  <c r="I29" i="3" s="1"/>
  <c r="K29" i="3" s="1"/>
  <c r="I28" i="3"/>
  <c r="K28" i="3" s="1"/>
  <c r="CV40" i="2"/>
  <c r="CW40" i="2"/>
  <c r="CO25" i="2"/>
  <c r="CO9" i="2"/>
  <c r="CY5" i="2"/>
  <c r="DK9" i="2" s="1"/>
  <c r="CS40" i="2"/>
  <c r="CK25" i="2"/>
  <c r="CV9" i="2"/>
  <c r="CN9" i="2"/>
  <c r="CO40" i="2"/>
  <c r="CW25" i="2"/>
  <c r="CS9" i="2"/>
  <c r="CK9" i="2"/>
  <c r="CK40" i="2"/>
  <c r="CS25" i="2"/>
  <c r="CR9" i="2"/>
  <c r="CL9" i="2"/>
  <c r="CP25" i="2"/>
  <c r="CT40" i="2"/>
  <c r="CM25" i="2"/>
  <c r="CQ40" i="2"/>
  <c r="CV25" i="2"/>
  <c r="CP9" i="2"/>
  <c r="CT25" i="2"/>
  <c r="CM9" i="2"/>
  <c r="CQ25" i="2"/>
  <c r="CU40" i="2"/>
  <c r="CN40" i="2"/>
  <c r="CT9" i="2"/>
  <c r="CL40" i="2"/>
  <c r="CQ9" i="2"/>
  <c r="CU25" i="2"/>
  <c r="CN25" i="2"/>
  <c r="CR40" i="2"/>
  <c r="CL25" i="2"/>
  <c r="CP40" i="2"/>
  <c r="CU9" i="2"/>
  <c r="CM40" i="2"/>
  <c r="CR25" i="2"/>
  <c r="W26" i="3"/>
  <c r="W20" i="3"/>
  <c r="P26" i="3"/>
  <c r="P25" i="3"/>
  <c r="P20" i="3"/>
  <c r="W24" i="3"/>
  <c r="W23" i="3"/>
  <c r="P23" i="3"/>
  <c r="W22" i="3"/>
  <c r="P22" i="3"/>
  <c r="W25" i="3"/>
  <c r="W21" i="3"/>
  <c r="P27" i="3"/>
  <c r="P21" i="3"/>
  <c r="R27" i="3"/>
  <c r="W27" i="3"/>
  <c r="P24" i="3"/>
  <c r="V28" i="3" l="1"/>
  <c r="AJ22" i="3"/>
  <c r="AD17" i="3"/>
  <c r="AC17" i="3"/>
  <c r="AB17" i="3"/>
  <c r="X36" i="3"/>
  <c r="S26" i="3"/>
  <c r="S24" i="3"/>
  <c r="S22" i="3"/>
  <c r="S20" i="3"/>
  <c r="S21" i="3"/>
  <c r="S23" i="3"/>
  <c r="S25" i="3"/>
  <c r="S27" i="3"/>
  <c r="Q28" i="3"/>
  <c r="O28" i="3"/>
  <c r="DJ40" i="2"/>
  <c r="DM5" i="2"/>
  <c r="DY9" i="2" s="1"/>
  <c r="DG40" i="2"/>
  <c r="CY25" i="2"/>
  <c r="DJ9" i="2"/>
  <c r="DE9" i="2"/>
  <c r="CY9" i="2"/>
  <c r="DC40" i="2"/>
  <c r="DK25" i="2"/>
  <c r="DI9" i="2"/>
  <c r="DC9" i="2"/>
  <c r="CY40" i="2"/>
  <c r="DG25" i="2"/>
  <c r="DG9" i="2"/>
  <c r="DB9" i="2"/>
  <c r="DK40" i="2"/>
  <c r="DC25" i="2"/>
  <c r="DF9" i="2"/>
  <c r="DA9" i="2"/>
  <c r="DD9" i="2"/>
  <c r="DH25" i="2"/>
  <c r="DA25" i="2"/>
  <c r="DE40" i="2"/>
  <c r="DJ25" i="2"/>
  <c r="DH9" i="2"/>
  <c r="CZ40" i="2"/>
  <c r="DE25" i="2"/>
  <c r="DI40" i="2"/>
  <c r="DB40" i="2"/>
  <c r="CZ25" i="2"/>
  <c r="DD40" i="2"/>
  <c r="DI25" i="2"/>
  <c r="DB25" i="2"/>
  <c r="DF40" i="2"/>
  <c r="CZ9" i="2"/>
  <c r="DD25" i="2"/>
  <c r="DH40" i="2"/>
  <c r="DA40" i="2"/>
  <c r="DF25" i="2"/>
  <c r="P28" i="3"/>
  <c r="W28" i="3"/>
  <c r="R28" i="3"/>
  <c r="S28" i="3" l="1"/>
  <c r="DV40" i="2"/>
  <c r="DR40" i="2"/>
  <c r="DN40" i="2"/>
  <c r="DY25" i="2"/>
  <c r="DU25" i="2"/>
  <c r="DQ25" i="2"/>
  <c r="DM25" i="2"/>
  <c r="DX9" i="2"/>
  <c r="DT9" i="2"/>
  <c r="DP9" i="2"/>
  <c r="DY40" i="2"/>
  <c r="DU40" i="2"/>
  <c r="DQ40" i="2"/>
  <c r="DM40" i="2"/>
  <c r="DX25" i="2"/>
  <c r="DT25" i="2"/>
  <c r="DP25" i="2"/>
  <c r="DW9" i="2"/>
  <c r="DS9" i="2"/>
  <c r="DO9" i="2"/>
  <c r="EA5" i="2"/>
  <c r="EM9" i="2" s="1"/>
  <c r="DX40" i="2"/>
  <c r="DT40" i="2"/>
  <c r="DP40" i="2"/>
  <c r="DW25" i="2"/>
  <c r="DS25" i="2"/>
  <c r="DO25" i="2"/>
  <c r="DV9" i="2"/>
  <c r="DR9" i="2"/>
  <c r="DN9" i="2"/>
  <c r="DW40" i="2"/>
  <c r="DS40" i="2"/>
  <c r="DO40" i="2"/>
  <c r="DV25" i="2"/>
  <c r="DR25" i="2"/>
  <c r="DN25" i="2"/>
  <c r="DU9" i="2"/>
  <c r="DQ9" i="2"/>
  <c r="DM9" i="2"/>
  <c r="EL40" i="2" l="1"/>
  <c r="EO5" i="2"/>
  <c r="FA9" i="2" s="1"/>
  <c r="EI40" i="2"/>
  <c r="EA25" i="2"/>
  <c r="EL9" i="2"/>
  <c r="ED9" i="2"/>
  <c r="EE40" i="2"/>
  <c r="EM25" i="2"/>
  <c r="EI9" i="2"/>
  <c r="EA9" i="2"/>
  <c r="EA40" i="2"/>
  <c r="EI25" i="2"/>
  <c r="EH9" i="2"/>
  <c r="EM40" i="2"/>
  <c r="EE25" i="2"/>
  <c r="EE9" i="2"/>
  <c r="EJ9" i="2"/>
  <c r="EB40" i="2"/>
  <c r="EG9" i="2"/>
  <c r="EK25" i="2"/>
  <c r="ED25" i="2"/>
  <c r="EH40" i="2"/>
  <c r="EB25" i="2"/>
  <c r="EF40" i="2"/>
  <c r="EK9" i="2"/>
  <c r="EC40" i="2"/>
  <c r="EH25" i="2"/>
  <c r="EB9" i="2"/>
  <c r="EF25" i="2"/>
  <c r="EJ40" i="2"/>
  <c r="EC25" i="2"/>
  <c r="EG40" i="2"/>
  <c r="EL25" i="2"/>
  <c r="EF9" i="2"/>
  <c r="EJ25" i="2"/>
  <c r="EC9" i="2"/>
  <c r="EG25" i="2"/>
  <c r="EK40" i="2"/>
  <c r="ED40" i="2"/>
  <c r="X22" i="3" l="1"/>
  <c r="X27" i="3"/>
  <c r="X23" i="3"/>
  <c r="X25" i="3"/>
  <c r="X24" i="3"/>
  <c r="X26" i="3"/>
  <c r="X21" i="3"/>
  <c r="X20" i="3"/>
  <c r="EX40" i="2"/>
  <c r="EY40" i="2"/>
  <c r="ES40" i="2"/>
  <c r="EY25" i="2"/>
  <c r="ES25" i="2"/>
  <c r="EY9" i="2"/>
  <c r="ES9" i="2"/>
  <c r="EW40" i="2"/>
  <c r="ER40" i="2"/>
  <c r="EW25" i="2"/>
  <c r="ER25" i="2"/>
  <c r="EW9" i="2"/>
  <c r="ER9" i="2"/>
  <c r="FA40" i="2"/>
  <c r="EV40" i="2"/>
  <c r="EQ40" i="2"/>
  <c r="FA25" i="2"/>
  <c r="EV25" i="2"/>
  <c r="EQ25" i="2"/>
  <c r="EV9" i="2"/>
  <c r="EQ9" i="2"/>
  <c r="EZ40" i="2"/>
  <c r="EU40" i="2"/>
  <c r="EO40" i="2"/>
  <c r="EZ25" i="2"/>
  <c r="EU25" i="2"/>
  <c r="EO25" i="2"/>
  <c r="EZ9" i="2"/>
  <c r="EU9" i="2"/>
  <c r="EO9" i="2"/>
  <c r="EP25" i="2"/>
  <c r="ET40" i="2"/>
  <c r="EP9" i="2"/>
  <c r="ET25" i="2"/>
  <c r="ET9" i="2"/>
  <c r="EX25" i="2"/>
  <c r="EX9" i="2"/>
  <c r="EP40" i="2"/>
  <c r="J35" i="4" l="1"/>
  <c r="AJ20" i="3"/>
  <c r="AJ19" i="3"/>
  <c r="Y14" i="3"/>
  <c r="X28" i="3"/>
  <c r="Y33" i="3" s="1"/>
  <c r="Y34" i="3" l="1"/>
  <c r="Q38" i="4"/>
  <c r="P38" i="4" s="1"/>
  <c r="Q35" i="4"/>
  <c r="P35" i="4" s="1"/>
  <c r="Q41" i="4"/>
  <c r="Q37" i="4"/>
  <c r="P37" i="4" s="1"/>
  <c r="Q36" i="4"/>
  <c r="P36" i="4" s="1"/>
  <c r="Q39" i="4"/>
  <c r="P39" i="4" s="1"/>
  <c r="Y16" i="3"/>
  <c r="Y15" i="3"/>
  <c r="J37" i="4"/>
  <c r="I37" i="4" s="1"/>
  <c r="AA15" i="3"/>
  <c r="J38" i="4"/>
  <c r="I38" i="4" s="1"/>
  <c r="F37" i="4"/>
  <c r="J36" i="4"/>
  <c r="I36" i="4" s="1"/>
  <c r="F36" i="4"/>
  <c r="Y25" i="3"/>
  <c r="Y35" i="3"/>
  <c r="Y36" i="3"/>
  <c r="Y26" i="3"/>
  <c r="N41" i="4"/>
  <c r="Y32" i="3"/>
  <c r="N36" i="4"/>
  <c r="M36" i="4" s="1"/>
  <c r="AP30" i="3" s="1"/>
  <c r="N37" i="4"/>
  <c r="M37" i="4" s="1"/>
  <c r="AP31" i="3" s="1"/>
  <c r="N38" i="4"/>
  <c r="M38" i="4" s="1"/>
  <c r="AP32" i="3" s="1"/>
  <c r="N39" i="4"/>
  <c r="M39" i="4" s="1"/>
  <c r="N35" i="4"/>
  <c r="M35" i="4" s="1"/>
  <c r="AP29" i="3" s="1"/>
  <c r="J41" i="4"/>
  <c r="AJ29" i="3"/>
  <c r="I35" i="4"/>
  <c r="J39" i="4"/>
  <c r="I39" i="4" s="1"/>
  <c r="Y20" i="3"/>
  <c r="Z16" i="3"/>
  <c r="Z14" i="3"/>
  <c r="Z15" i="3"/>
  <c r="AA16" i="3"/>
  <c r="AA14" i="3"/>
  <c r="Z21" i="3"/>
  <c r="Z26" i="3"/>
  <c r="Y23" i="3"/>
  <c r="AA22" i="3"/>
  <c r="Y28" i="3"/>
  <c r="AA20" i="3"/>
  <c r="Z25" i="3"/>
  <c r="Z27" i="3"/>
  <c r="AA21" i="3"/>
  <c r="AA27" i="3"/>
  <c r="Y27" i="3"/>
  <c r="Z20" i="3"/>
  <c r="Z22" i="3"/>
  <c r="AA23" i="3"/>
  <c r="AA25" i="3"/>
  <c r="Y21" i="3"/>
  <c r="Y22" i="3"/>
  <c r="Z23" i="3"/>
  <c r="Z28" i="3"/>
  <c r="AA26" i="3"/>
  <c r="AA28" i="3"/>
  <c r="AA34" i="3"/>
  <c r="AA36" i="3"/>
  <c r="AA24" i="3"/>
  <c r="AA33" i="3"/>
  <c r="AA32" i="3"/>
  <c r="AA29" i="3"/>
  <c r="AA35" i="3"/>
  <c r="AA37" i="3"/>
  <c r="Z24" i="3"/>
  <c r="Z35" i="3"/>
  <c r="Y31" i="3"/>
  <c r="Z37" i="3"/>
  <c r="Z29" i="3"/>
  <c r="Z36" i="3"/>
  <c r="Z34" i="3"/>
  <c r="Z32" i="3"/>
  <c r="Z33" i="3"/>
  <c r="Y29" i="3"/>
  <c r="Y37" i="3"/>
  <c r="Y24" i="3"/>
  <c r="AC27" i="3" l="1"/>
  <c r="AC28" i="3"/>
  <c r="E27" i="4"/>
  <c r="AJ35" i="3"/>
  <c r="E25" i="4"/>
  <c r="E26" i="4" s="1"/>
  <c r="AI30" i="3"/>
  <c r="AI32" i="3"/>
  <c r="AI31" i="3"/>
  <c r="AI29" i="3"/>
  <c r="Q40" i="4"/>
  <c r="P40" i="4" s="1"/>
  <c r="AJ31" i="3"/>
  <c r="AB15" i="3"/>
  <c r="AJ32" i="3"/>
  <c r="AJ18" i="3"/>
  <c r="E37" i="4"/>
  <c r="AI18" i="3" s="1"/>
  <c r="AJ30" i="3"/>
  <c r="AJ17" i="3"/>
  <c r="E36" i="4"/>
  <c r="AI17" i="3" s="1"/>
  <c r="F40" i="4"/>
  <c r="AQ31" i="3"/>
  <c r="AQ30" i="3"/>
  <c r="AQ32" i="3"/>
  <c r="AQ29" i="3"/>
  <c r="AP33" i="3"/>
  <c r="AQ33" i="3"/>
  <c r="N40" i="4"/>
  <c r="AQ35" i="3"/>
  <c r="AI33" i="3"/>
  <c r="AJ33" i="3"/>
  <c r="J40" i="4"/>
  <c r="AB20" i="3"/>
  <c r="AB37" i="3"/>
  <c r="AB36" i="3"/>
  <c r="AB14" i="3"/>
  <c r="AB16" i="3"/>
  <c r="AD14" i="3"/>
  <c r="AC14" i="3"/>
  <c r="AD16" i="3"/>
  <c r="AC16" i="3"/>
  <c r="AC15" i="3"/>
  <c r="AD15" i="3"/>
  <c r="AD26" i="3"/>
  <c r="AB22" i="3"/>
  <c r="AB21" i="3"/>
  <c r="AD27" i="3"/>
  <c r="AD29" i="3"/>
  <c r="AD32" i="3"/>
  <c r="AD35" i="3"/>
  <c r="AD24" i="3"/>
  <c r="AD36" i="3"/>
  <c r="AD22" i="3"/>
  <c r="AD34" i="3"/>
  <c r="AD25" i="3"/>
  <c r="AC21" i="3"/>
  <c r="AD21" i="3"/>
  <c r="AD20" i="3"/>
  <c r="AD37" i="3"/>
  <c r="AD33" i="3"/>
  <c r="AD28" i="3"/>
  <c r="AD23" i="3"/>
  <c r="AC35" i="3"/>
  <c r="AC33" i="3"/>
  <c r="AC23" i="3"/>
  <c r="AC24" i="3"/>
  <c r="AC37" i="3"/>
  <c r="AB26" i="3"/>
  <c r="AC26" i="3"/>
  <c r="AC29" i="3"/>
  <c r="AC36" i="3"/>
  <c r="AC20" i="3"/>
  <c r="AC32" i="3"/>
  <c r="AC34" i="3"/>
  <c r="AC25" i="3"/>
  <c r="AC22" i="3"/>
  <c r="AB24" i="3"/>
  <c r="AB23" i="3"/>
  <c r="AB33" i="3"/>
  <c r="AB29" i="3"/>
  <c r="AB27" i="3"/>
  <c r="AB28" i="3"/>
  <c r="AB25" i="3"/>
  <c r="AB35" i="3"/>
  <c r="AB32" i="3"/>
  <c r="AB34" i="3"/>
  <c r="E40" i="4" l="1"/>
  <c r="AI21" i="3" s="1"/>
  <c r="AJ21" i="3"/>
  <c r="M40" i="4"/>
  <c r="AP34" i="3" s="1"/>
  <c r="AQ34" i="3"/>
  <c r="I40" i="4"/>
  <c r="AI34" i="3" s="1"/>
  <c r="AJ34" i="3"/>
</calcChain>
</file>

<file path=xl/sharedStrings.xml><?xml version="1.0" encoding="utf-8"?>
<sst xmlns="http://schemas.openxmlformats.org/spreadsheetml/2006/main" count="329" uniqueCount="121">
  <si>
    <t>Settings</t>
  </si>
  <si>
    <t>Budget Planning</t>
  </si>
  <si>
    <t>Budget Dashboard</t>
  </si>
  <si>
    <t>Calculations</t>
  </si>
  <si>
    <t>Drop Down Data</t>
  </si>
  <si>
    <t xml:space="preserve"> </t>
  </si>
  <si>
    <t>Budget Tracking</t>
  </si>
  <si>
    <t>General</t>
  </si>
  <si>
    <t>Starting Year :</t>
  </si>
  <si>
    <t>Set the starting year(yyyy) once at the beginning and do not change it again</t>
  </si>
  <si>
    <t>Define starting year in settings</t>
  </si>
  <si>
    <t>Income</t>
  </si>
  <si>
    <t>Enter income category</t>
  </si>
  <si>
    <t>Total</t>
  </si>
  <si>
    <t>Employement</t>
  </si>
  <si>
    <t>Side hustle</t>
  </si>
  <si>
    <t>Dividends</t>
  </si>
  <si>
    <t>Expenses</t>
  </si>
  <si>
    <t>Housing</t>
  </si>
  <si>
    <t>Utilities</t>
  </si>
  <si>
    <t>Groceries</t>
  </si>
  <si>
    <t>Enter Expenses category</t>
  </si>
  <si>
    <t>Savings</t>
  </si>
  <si>
    <t>Emergency Fund</t>
  </si>
  <si>
    <t>Retirement Fund</t>
  </si>
  <si>
    <t>Stock Portfolio</t>
  </si>
  <si>
    <t>Enter Savings Category</t>
  </si>
  <si>
    <t>To be allocated</t>
  </si>
  <si>
    <t>Transportation</t>
  </si>
  <si>
    <t>Insurances</t>
  </si>
  <si>
    <t>Clothing</t>
  </si>
  <si>
    <t>Body Care &amp; Medicine</t>
  </si>
  <si>
    <t>Media</t>
  </si>
  <si>
    <t>Fun &amp; Vacation</t>
  </si>
  <si>
    <t xml:space="preserve">              -</t>
  </si>
  <si>
    <t>Sinking Fund Down Payment</t>
  </si>
  <si>
    <t>Sinking Fund Rest</t>
  </si>
  <si>
    <t xml:space="preserve">             -</t>
  </si>
  <si>
    <t>Date</t>
  </si>
  <si>
    <t>Type</t>
  </si>
  <si>
    <t>Category</t>
  </si>
  <si>
    <t>Details</t>
  </si>
  <si>
    <t>Amount</t>
  </si>
  <si>
    <t>Balance</t>
  </si>
  <si>
    <t>Effective Date</t>
  </si>
  <si>
    <t>Budget Tracking &amp; Dashboard</t>
  </si>
  <si>
    <t>Late Monthly Income</t>
  </si>
  <si>
    <t>Shift late income:</t>
  </si>
  <si>
    <t>Starting on day x in month:</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</si>
  <si>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</si>
  <si>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Active</t>
  </si>
  <si>
    <t>Worksheet: Budget Tracking</t>
  </si>
  <si>
    <t>Today:</t>
  </si>
  <si>
    <t>Last Record:</t>
  </si>
  <si>
    <t>Delta Last Record:</t>
  </si>
  <si>
    <t># Records:</t>
  </si>
  <si>
    <t># Records this year:</t>
  </si>
  <si>
    <t>Tracking Balance:</t>
  </si>
  <si>
    <t>Balance Analysis Text:</t>
  </si>
  <si>
    <t>Year</t>
  </si>
  <si>
    <t>Select the year to view ➜</t>
  </si>
  <si>
    <t>Period</t>
  </si>
  <si>
    <t>Select the period to view ➜</t>
  </si>
  <si>
    <t>Year Dropdown</t>
  </si>
  <si>
    <t>Current Year</t>
  </si>
  <si>
    <t>Period Dropdown</t>
  </si>
  <si>
    <t>Total Year</t>
  </si>
  <si>
    <t>Current Month</t>
  </si>
  <si>
    <t>Worksheet: Budget Dashboard</t>
  </si>
  <si>
    <t>Selected Year:</t>
  </si>
  <si>
    <t>Selected Period:</t>
  </si>
  <si>
    <t>Selected Period(Display):</t>
  </si>
  <si>
    <t>row_id</t>
  </si>
  <si>
    <t>header_row_id</t>
  </si>
  <si>
    <t>is_header</t>
  </si>
  <si>
    <t>is_cat</t>
  </si>
  <si>
    <t>is_total</t>
  </si>
  <si>
    <t>is_empty</t>
  </si>
  <si>
    <t>type</t>
  </si>
  <si>
    <t>tracked</t>
  </si>
  <si>
    <t>items</t>
  </si>
  <si>
    <t>budget</t>
  </si>
  <si>
    <t>sort_min_row</t>
  </si>
  <si>
    <t>sort_max_row</t>
  </si>
  <si>
    <t>tracked_range</t>
  </si>
  <si>
    <t>budget_range</t>
  </si>
  <si>
    <t>budget_rank</t>
  </si>
  <si>
    <t>tracked_rank</t>
  </si>
  <si>
    <t>comb_rank</t>
  </si>
  <si>
    <t>sorted_row_id[LOOKUP]</t>
  </si>
  <si>
    <r>
      <rPr>
        <b/>
        <sz val="11"/>
        <color rgb="FF00B0F0"/>
        <rFont val="Calibri"/>
        <family val="2"/>
        <scheme val="minor"/>
      </rPr>
      <t>Chart Calculations:</t>
    </r>
    <r>
      <rPr>
        <sz val="11"/>
        <color rgb="FF00B0F0"/>
        <rFont val="Calibri"/>
        <family val="2"/>
        <scheme val="minor"/>
      </rPr>
      <t xml:space="preserve"> Category Distribution Charts</t>
    </r>
  </si>
  <si>
    <r>
      <rPr>
        <b/>
        <sz val="11"/>
        <color rgb="FF00B0F0"/>
        <rFont val="Calibri"/>
        <family val="2"/>
        <scheme val="minor"/>
      </rPr>
      <t>Chart Calculations:</t>
    </r>
    <r>
      <rPr>
        <sz val="11"/>
        <color rgb="FF00B0F0"/>
        <rFont val="Calibri"/>
        <family val="2"/>
        <scheme val="minor"/>
      </rPr>
      <t xml:space="preserve"> Tracked(Vs. Budget) Chart</t>
    </r>
  </si>
  <si>
    <t>Month</t>
  </si>
  <si>
    <t>Month Num.</t>
  </si>
  <si>
    <t>In Focus</t>
  </si>
  <si>
    <t xml:space="preserve">Show Type </t>
  </si>
  <si>
    <t>Show Rem. Budget</t>
  </si>
  <si>
    <t>Delta</t>
  </si>
  <si>
    <t>Period in Focus</t>
  </si>
  <si>
    <t>In Budget</t>
  </si>
  <si>
    <t>Remaining</t>
  </si>
  <si>
    <t>Excess</t>
  </si>
  <si>
    <t>Period not  in Focus</t>
  </si>
  <si>
    <t xml:space="preserve">  </t>
  </si>
  <si>
    <t xml:space="preserve"> Budget</t>
  </si>
  <si>
    <t>Tracked</t>
  </si>
  <si>
    <t>Show Income:</t>
  </si>
  <si>
    <t>Show Expenses:</t>
  </si>
  <si>
    <t>Show Savings:</t>
  </si>
  <si>
    <t>Show Remaining Budget:</t>
  </si>
  <si>
    <t>Days in Period:</t>
  </si>
  <si>
    <t>Days passed in Period:</t>
  </si>
  <si>
    <t>Days passed in Period %:</t>
  </si>
  <si>
    <t>Period Tracking Balance:</t>
  </si>
  <si>
    <t>Period Savings Rate:</t>
  </si>
  <si>
    <t>KPI Calculation in Dashboard</t>
  </si>
  <si>
    <t>Savings Rate as % of Income:</t>
  </si>
  <si>
    <t>% allocated to Savings</t>
  </si>
  <si>
    <t xml:space="preserve"> 2)Passive Option( % not allocated to Expenses):        SR = (Income - Expenses)/Income</t>
  </si>
  <si>
    <t>1)Active Option (% allocated to Savings):               SR = Savings / Income</t>
  </si>
  <si>
    <t xml:space="preserve">Choose how you want the savings rate (SR) to be calculated in the dashboard KPI tiles: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</si>
</sst>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mmm"/>
    <numFmt numFmtId="165" formatCode="_ * #,##0_ ;_ * \-#,##0_ ;_ * &quot;-&quot;??_ ;_ @_ "/>
    <numFmt numFmtId="166" formatCode="d/mmm/yy"/>
    <numFmt numFmtId="167" formatCode="mmmm"/>
    <numFmt numFmtId="170" formatCode="0.0%"/>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4"/>
      <color rgb="FFFFFF00"/>
      <name val="Ebrima"/>
    </font>
    <font>
      <b/>
      <sz val="11"/>
      <color rgb="FFFFFF00"/>
      <name val="Calibri"/>
      <family val="2"/>
      <scheme val="minor"/>
    </font>
    <font>
      <b/>
      <sz val="16"/>
      <color rgb="FFFFFF00"/>
      <name val="Calibri"/>
      <family val="2"/>
      <scheme val="minor"/>
    </font>
    <font>
      <b/>
      <sz val="11"/>
      <name val="Calibri"/>
      <family val="2"/>
      <scheme val="minor"/>
    </font>
    <font>
      <sz val="10"/>
      <color theme="1"/>
      <name val="Calibri"/>
      <family val="2"/>
      <scheme val="minor"/>
    </font>
    <font>
      <b/>
      <i/>
      <sz val="10"/>
      <color theme="2" tint="-0.499984740745262"/>
      <name val="Calibri"/>
      <family val="2"/>
      <scheme val="minor"/>
    </font>
    <font>
      <b/>
      <sz val="10"/>
      <color theme="0"/>
      <name val="Calibri"/>
      <family val="2"/>
      <scheme val="minor"/>
    </font>
    <font>
      <sz val="10"/>
      <color theme="2" tint="-0.249977111117893"/>
      <name val="Calibri"/>
      <family val="2"/>
      <scheme val="minor"/>
    </font>
    <font>
      <sz val="9"/>
      <color theme="0" tint="-0.249977111117893"/>
      <name val="Calibri"/>
      <family val="2"/>
      <scheme val="minor"/>
    </font>
    <font>
      <sz val="9"/>
      <color theme="1"/>
      <name val="Calibri"/>
      <family val="2"/>
      <scheme val="minor"/>
    </font>
    <font>
      <i/>
      <sz val="10"/>
      <color theme="1"/>
      <name val="Calibri"/>
      <family val="2"/>
      <scheme val="minor"/>
    </font>
    <font>
      <b/>
      <sz val="9"/>
      <color theme="1"/>
      <name val="Calibri"/>
      <family val="2"/>
      <scheme val="minor"/>
    </font>
    <font>
      <b/>
      <sz val="9"/>
      <color theme="0" tint="-0.249977111117893"/>
      <name val="Calibri"/>
      <family val="2"/>
      <scheme val="minor"/>
    </font>
    <font>
      <sz val="10"/>
      <color theme="0" tint="-0.34998626667073579"/>
      <name val="Calibri"/>
      <family val="2"/>
      <scheme val="minor"/>
    </font>
    <font>
      <sz val="11"/>
      <color theme="1" tint="4.9989318521683403E-2"/>
      <name val="Calibri"/>
      <family val="2"/>
      <scheme val="minor"/>
    </font>
    <font>
      <b/>
      <sz val="11"/>
      <color rgb="FF002060"/>
      <name val="Calibri"/>
      <family val="2"/>
      <scheme val="minor"/>
    </font>
    <font>
      <i/>
      <sz val="10"/>
      <color theme="1" tint="0.499984740745262"/>
      <name val="Calibri"/>
      <family val="2"/>
      <scheme val="minor"/>
    </font>
    <font>
      <sz val="10"/>
      <color theme="0" tint="-0.249977111117893"/>
      <name val="Calibri"/>
      <family val="2"/>
      <scheme val="minor"/>
    </font>
    <font>
      <b/>
      <sz val="9"/>
      <color theme="0"/>
      <name val="Calibri"/>
      <family val="2"/>
      <scheme val="minor"/>
    </font>
    <font>
      <b/>
      <sz val="11"/>
      <color theme="0"/>
      <name val="Calibri"/>
      <family val="2"/>
      <scheme val="minor"/>
    </font>
    <font>
      <sz val="11"/>
      <color rgb="FF002060"/>
      <name val="Calibri"/>
      <family val="2"/>
      <scheme val="minor"/>
    </font>
    <font>
      <i/>
      <sz val="9"/>
      <color theme="0" tint="-0.499984740745262"/>
      <name val="Calibri"/>
      <family val="2"/>
      <scheme val="minor"/>
    </font>
    <font>
      <sz val="8"/>
      <color theme="1"/>
      <name val="Calibri"/>
      <family val="2"/>
      <scheme val="minor"/>
    </font>
    <font>
      <sz val="10"/>
      <color theme="1"/>
      <name val="Calibri"/>
      <scheme val="minor"/>
    </font>
    <font>
      <sz val="10"/>
      <color theme="0" tint="-0.34998626667073579"/>
      <name val="Calibri"/>
      <scheme val="minor"/>
    </font>
    <font>
      <sz val="10"/>
      <color theme="0" tint="-0.249977111117893"/>
      <name val="Calibri"/>
      <scheme val="minor"/>
    </font>
    <font>
      <sz val="10.5"/>
      <color theme="1"/>
      <name val="Calibri"/>
      <family val="2"/>
      <scheme val="minor"/>
    </font>
    <font>
      <sz val="11"/>
      <color rgb="FF00B0F0"/>
      <name val="Calibri"/>
      <family val="2"/>
      <scheme val="minor"/>
    </font>
    <font>
      <b/>
      <sz val="11"/>
      <color rgb="FF00B0F0"/>
      <name val="Calibri"/>
      <family val="2"/>
      <scheme val="minor"/>
    </font>
    <font>
      <sz val="8"/>
      <color rgb="FF000000"/>
      <name val="Segoe UI"/>
      <family val="2"/>
    </font>
    <font>
      <b/>
      <sz val="10"/>
      <color theme="0" tint="-0.499984740745262"/>
      <name val="Calibri"/>
      <family val="2"/>
      <scheme val="minor"/>
    </font>
    <font>
      <b/>
      <sz val="10"/>
      <color theme="1"/>
      <name val="Calibri"/>
      <family val="2"/>
      <scheme val="minor"/>
    </font>
  </fonts>
  <fills count="12">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theme="2" tint="-0.249977111117893"/>
        <bgColor indexed="64"/>
      </patternFill>
    </fill>
    <fill>
      <patternFill patternType="solid">
        <fgColor rgb="FF00B050"/>
        <bgColor indexed="64"/>
      </patternFill>
    </fill>
    <fill>
      <patternFill patternType="solid">
        <fgColor theme="5" tint="-0.249977111117893"/>
        <bgColor indexed="64"/>
      </patternFill>
    </fill>
    <fill>
      <patternFill patternType="solid">
        <fgColor theme="8"/>
        <bgColor indexed="64"/>
      </patternFill>
    </fill>
    <fill>
      <patternFill patternType="solid">
        <fgColor theme="0" tint="-0.249977111117893"/>
        <bgColor indexed="64"/>
      </patternFill>
    </fill>
    <fill>
      <patternFill patternType="solid">
        <fgColor rgb="FFAAFB7D"/>
        <bgColor indexed="64"/>
      </patternFill>
    </fill>
    <fill>
      <patternFill patternType="solid">
        <fgColor theme="1"/>
        <bgColor indexed="64"/>
      </patternFill>
    </fill>
    <fill>
      <patternFill patternType="solid">
        <fgColor theme="0" tint="-0.34998626667073579"/>
        <bgColor indexed="64"/>
      </patternFill>
    </fill>
  </fills>
  <borders count="29">
    <border>
      <left/>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right/>
      <top/>
      <bottom style="dotted">
        <color theme="0" tint="-0.34998626667073579"/>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thick">
        <color auto="1"/>
      </top>
      <bottom/>
      <diagonal/>
    </border>
    <border>
      <left/>
      <right/>
      <top style="dotted">
        <color auto="1"/>
      </top>
      <bottom/>
      <diagonal/>
    </border>
    <border>
      <left/>
      <right/>
      <top style="thin">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7">
    <xf numFmtId="0" fontId="0" fillId="0" borderId="0" xfId="0"/>
    <xf numFmtId="0" fontId="0" fillId="2" borderId="0" xfId="0" applyFill="1"/>
    <xf numFmtId="0" fontId="0" fillId="3" borderId="0" xfId="0" applyFill="1"/>
    <xf numFmtId="0" fontId="3" fillId="3" borderId="0" xfId="0" applyFont="1" applyFill="1"/>
    <xf numFmtId="0" fontId="5" fillId="3" borderId="0" xfId="0" applyFont="1" applyFill="1"/>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6" fillId="0" borderId="0" xfId="0" applyFont="1" applyBorder="1"/>
    <xf numFmtId="0" fontId="0" fillId="4" borderId="0" xfId="0" applyFont="1" applyFill="1" applyBorder="1" applyAlignment="1">
      <alignment horizontal="center" vertical="center"/>
    </xf>
    <xf numFmtId="0" fontId="8" fillId="0" borderId="0" xfId="0" applyFont="1" applyAlignment="1">
      <alignment horizontal="center" vertical="center"/>
    </xf>
    <xf numFmtId="0" fontId="2" fillId="0" borderId="0" xfId="0" applyFont="1" applyAlignment="1">
      <alignment horizontal="left" indent="1"/>
    </xf>
    <xf numFmtId="0" fontId="2" fillId="0" borderId="10" xfId="0" applyFont="1" applyBorder="1" applyAlignment="1">
      <alignment horizontal="left" indent="1"/>
    </xf>
    <xf numFmtId="0" fontId="9" fillId="5" borderId="0" xfId="0" applyNumberFormat="1" applyFont="1" applyFill="1" applyAlignment="1">
      <alignment horizontal="center" vertical="center"/>
    </xf>
    <xf numFmtId="164" fontId="9" fillId="5" borderId="0" xfId="0" applyNumberFormat="1" applyFont="1" applyFill="1" applyAlignment="1">
      <alignment horizontal="center" vertical="center"/>
    </xf>
    <xf numFmtId="0" fontId="7" fillId="0" borderId="0" xfId="0" applyFont="1" applyFill="1" applyBorder="1" applyAlignment="1">
      <alignment horizontal="left" indent="1"/>
    </xf>
    <xf numFmtId="0" fontId="10" fillId="0" borderId="0" xfId="0" applyFont="1" applyAlignment="1">
      <alignment horizontal="left" indent="1"/>
    </xf>
    <xf numFmtId="165" fontId="11" fillId="0" borderId="10" xfId="1" applyNumberFormat="1" applyFont="1" applyBorder="1"/>
    <xf numFmtId="164" fontId="9" fillId="6" borderId="0" xfId="0" applyNumberFormat="1" applyFont="1" applyFill="1" applyAlignment="1">
      <alignment horizontal="center" vertical="center"/>
    </xf>
    <xf numFmtId="0" fontId="9" fillId="6" borderId="0" xfId="0" applyNumberFormat="1" applyFont="1" applyFill="1" applyAlignment="1">
      <alignment horizontal="center" vertical="center"/>
    </xf>
    <xf numFmtId="164" fontId="9" fillId="7" borderId="0" xfId="0" applyNumberFormat="1" applyFont="1" applyFill="1" applyAlignment="1">
      <alignment horizontal="center" vertical="center"/>
    </xf>
    <xf numFmtId="0" fontId="9" fillId="7" borderId="0" xfId="0" applyNumberFormat="1" applyFont="1" applyFill="1" applyAlignment="1">
      <alignment horizontal="center" vertical="center"/>
    </xf>
    <xf numFmtId="0" fontId="13" fillId="0" borderId="0" xfId="0" applyFont="1" applyAlignment="1">
      <alignment horizontal="right" indent="1"/>
    </xf>
    <xf numFmtId="165" fontId="12" fillId="0" borderId="10" xfId="1" applyNumberFormat="1" applyFont="1" applyBorder="1"/>
    <xf numFmtId="165" fontId="12" fillId="0" borderId="9" xfId="0" applyNumberFormat="1" applyFont="1" applyBorder="1"/>
    <xf numFmtId="165" fontId="14" fillId="0" borderId="9" xfId="0" applyNumberFormat="1" applyFont="1" applyBorder="1"/>
    <xf numFmtId="0" fontId="0" fillId="0" borderId="0" xfId="0" applyAlignment="1">
      <alignment horizontal="center" vertical="center"/>
    </xf>
    <xf numFmtId="0" fontId="0" fillId="0" borderId="9" xfId="0" applyBorder="1" applyAlignment="1">
      <alignment horizontal="center" vertical="center"/>
    </xf>
    <xf numFmtId="165" fontId="15" fillId="0" borderId="10" xfId="1" applyNumberFormat="1" applyFont="1" applyBorder="1"/>
    <xf numFmtId="0" fontId="0" fillId="2" borderId="0" xfId="0" applyFont="1" applyFill="1"/>
    <xf numFmtId="165" fontId="14" fillId="0" borderId="10" xfId="1" applyNumberFormat="1" applyFont="1" applyBorder="1"/>
    <xf numFmtId="0" fontId="7" fillId="0" borderId="0" xfId="0" applyFont="1" applyAlignment="1">
      <alignment horizontal="left" indent="1"/>
    </xf>
    <xf numFmtId="166" fontId="7" fillId="0" borderId="0" xfId="0" applyNumberFormat="1" applyFont="1" applyAlignment="1">
      <alignment horizontal="left" indent="1"/>
    </xf>
    <xf numFmtId="165" fontId="7" fillId="0" borderId="0" xfId="1" applyNumberFormat="1" applyFont="1" applyAlignment="1">
      <alignment horizontal="left" indent="1"/>
    </xf>
    <xf numFmtId="0" fontId="16" fillId="0" borderId="0" xfId="0" applyFont="1" applyAlignment="1">
      <alignment horizontal="left" indent="1"/>
    </xf>
    <xf numFmtId="165" fontId="16" fillId="0" borderId="0" xfId="1" applyNumberFormat="1" applyFont="1" applyAlignment="1">
      <alignment horizontal="left" indent="1"/>
    </xf>
    <xf numFmtId="0" fontId="17" fillId="4" borderId="0" xfId="0" applyFont="1" applyFill="1" applyAlignment="1">
      <alignment horizontal="center" vertical="center"/>
    </xf>
    <xf numFmtId="0" fontId="18" fillId="0" borderId="0" xfId="0" applyFont="1" applyBorder="1"/>
    <xf numFmtId="0" fontId="6" fillId="0" borderId="0" xfId="0" applyFont="1" applyBorder="1" applyAlignment="1">
      <alignment horizontal="left" inden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9" fillId="0" borderId="0" xfId="0" applyFont="1" applyBorder="1"/>
    <xf numFmtId="166" fontId="20" fillId="0" borderId="0" xfId="0" applyNumberFormat="1" applyFont="1" applyAlignment="1">
      <alignment horizontal="right" indent="1"/>
    </xf>
    <xf numFmtId="0" fontId="21" fillId="2" borderId="0" xfId="0" applyFont="1" applyFill="1" applyAlignment="1">
      <alignment horizontal="left" vertical="center" indent="1"/>
    </xf>
    <xf numFmtId="0" fontId="2" fillId="0" borderId="0" xfId="0" applyFont="1"/>
    <xf numFmtId="166" fontId="0" fillId="0" borderId="0" xfId="0" applyNumberFormat="1"/>
    <xf numFmtId="165" fontId="0" fillId="0" borderId="0" xfId="1" applyNumberFormat="1" applyFont="1"/>
    <xf numFmtId="166" fontId="0" fillId="2" borderId="0" xfId="0" applyNumberFormat="1" applyFill="1"/>
    <xf numFmtId="0" fontId="23" fillId="2" borderId="0" xfId="0" applyFont="1" applyFill="1"/>
    <xf numFmtId="0" fontId="22" fillId="2" borderId="0" xfId="0" applyFont="1" applyFill="1" applyAlignment="1">
      <alignment horizontal="center" vertical="center"/>
    </xf>
    <xf numFmtId="0" fontId="7" fillId="0" borderId="19" xfId="0" applyFont="1" applyBorder="1" applyAlignment="1">
      <alignment horizontal="center" vertical="center"/>
    </xf>
    <xf numFmtId="0" fontId="7" fillId="0" borderId="18" xfId="0" applyFont="1" applyBorder="1" applyAlignment="1">
      <alignment horizontal="center" vertical="center"/>
    </xf>
    <xf numFmtId="167" fontId="7" fillId="0" borderId="19" xfId="0" applyNumberFormat="1" applyFont="1" applyBorder="1" applyAlignment="1">
      <alignment horizontal="center" vertical="center"/>
    </xf>
    <xf numFmtId="167" fontId="7" fillId="0" borderId="18" xfId="0" applyNumberFormat="1" applyFont="1" applyBorder="1" applyAlignment="1">
      <alignment horizontal="center" vertical="center"/>
    </xf>
    <xf numFmtId="0" fontId="2" fillId="0" borderId="20" xfId="0" applyFont="1" applyBorder="1"/>
    <xf numFmtId="0" fontId="0" fillId="0" borderId="0" xfId="0" applyAlignment="1">
      <alignment horizontal="right"/>
    </xf>
    <xf numFmtId="0" fontId="25" fillId="8" borderId="0" xfId="0" applyFont="1" applyFill="1" applyAlignment="1">
      <alignment horizontal="center" vertical="center"/>
    </xf>
    <xf numFmtId="166" fontId="26" fillId="0" borderId="0" xfId="0" applyNumberFormat="1" applyFont="1" applyAlignment="1">
      <alignment horizontal="left" indent="1"/>
    </xf>
    <xf numFmtId="0" fontId="26" fillId="0" borderId="0" xfId="0" applyFont="1" applyAlignment="1">
      <alignment horizontal="left" indent="1"/>
    </xf>
    <xf numFmtId="165" fontId="26" fillId="0" borderId="0" xfId="1" applyNumberFormat="1" applyFont="1" applyAlignment="1">
      <alignment horizontal="left" indent="1"/>
    </xf>
    <xf numFmtId="0" fontId="27" fillId="0" borderId="0" xfId="0" applyFont="1" applyAlignment="1">
      <alignment horizontal="left" indent="1"/>
    </xf>
    <xf numFmtId="165" fontId="27" fillId="0" borderId="0" xfId="1" applyNumberFormat="1" applyFont="1" applyAlignment="1">
      <alignment horizontal="left" indent="1"/>
    </xf>
    <xf numFmtId="166" fontId="28" fillId="0" borderId="0" xfId="0" applyNumberFormat="1" applyFont="1" applyAlignment="1">
      <alignment horizontal="right" indent="1"/>
    </xf>
    <xf numFmtId="165" fontId="0" fillId="0" borderId="0" xfId="1" applyNumberFormat="1" applyFont="1" applyBorder="1"/>
    <xf numFmtId="0" fontId="25" fillId="8" borderId="1" xfId="0" applyFont="1" applyFill="1" applyBorder="1" applyAlignment="1">
      <alignment horizontal="center" vertical="center"/>
    </xf>
    <xf numFmtId="0" fontId="25" fillId="8" borderId="2" xfId="0" applyFont="1" applyFill="1" applyBorder="1" applyAlignment="1">
      <alignment horizontal="center" vertical="center"/>
    </xf>
    <xf numFmtId="0" fontId="25" fillId="8" borderId="0" xfId="0" applyFont="1" applyFill="1" applyBorder="1" applyAlignment="1">
      <alignment horizontal="center" vertical="center"/>
    </xf>
    <xf numFmtId="0" fontId="23" fillId="2" borderId="1" xfId="0" applyFont="1" applyFill="1" applyBorder="1"/>
    <xf numFmtId="0" fontId="23" fillId="2" borderId="0" xfId="0" applyFont="1" applyFill="1" applyBorder="1"/>
    <xf numFmtId="165" fontId="0" fillId="0" borderId="2" xfId="1" applyNumberFormat="1" applyFont="1" applyBorder="1"/>
    <xf numFmtId="0" fontId="25" fillId="8" borderId="19" xfId="0" applyFont="1" applyFill="1" applyBorder="1" applyAlignment="1">
      <alignment horizontal="center" vertical="center"/>
    </xf>
    <xf numFmtId="0" fontId="0" fillId="0" borderId="19" xfId="0" applyBorder="1"/>
    <xf numFmtId="0" fontId="29" fillId="0" borderId="0" xfId="0" applyFont="1" applyAlignment="1">
      <alignment vertical="center"/>
    </xf>
    <xf numFmtId="9" fontId="29" fillId="0" borderId="0" xfId="2" applyFont="1" applyAlignment="1">
      <alignment horizontal="center" vertical="center"/>
    </xf>
    <xf numFmtId="165" fontId="29" fillId="0" borderId="0" xfId="1" applyNumberFormat="1" applyFont="1" applyAlignment="1">
      <alignment horizontal="center" vertical="center"/>
    </xf>
    <xf numFmtId="0" fontId="0" fillId="0" borderId="21" xfId="0" applyBorder="1"/>
    <xf numFmtId="0" fontId="0" fillId="0" borderId="22" xfId="0" applyBorder="1"/>
    <xf numFmtId="0" fontId="0" fillId="0" borderId="23" xfId="0" applyBorder="1"/>
    <xf numFmtId="0" fontId="0" fillId="0" borderId="24" xfId="0" applyBorder="1"/>
    <xf numFmtId="0" fontId="30" fillId="0" borderId="24" xfId="0" applyFont="1" applyBorder="1"/>
    <xf numFmtId="0" fontId="2" fillId="0" borderId="25" xfId="0" applyFont="1" applyBorder="1" applyAlignment="1">
      <alignment horizontal="center"/>
    </xf>
    <xf numFmtId="0" fontId="0" fillId="0" borderId="0" xfId="0" applyAlignment="1">
      <alignment horizontal="center"/>
    </xf>
    <xf numFmtId="165" fontId="0" fillId="0" borderId="0" xfId="1" applyNumberFormat="1" applyFont="1" applyAlignment="1">
      <alignment horizontal="center"/>
    </xf>
    <xf numFmtId="0" fontId="0" fillId="0" borderId="27" xfId="0" applyBorder="1" applyAlignment="1">
      <alignment horizontal="center"/>
    </xf>
    <xf numFmtId="0" fontId="0" fillId="0" borderId="26" xfId="0" applyBorder="1" applyAlignment="1">
      <alignment horizontal="center"/>
    </xf>
    <xf numFmtId="0" fontId="2" fillId="0" borderId="26" xfId="0" applyFont="1" applyBorder="1" applyAlignment="1">
      <alignment horizontal="center"/>
    </xf>
    <xf numFmtId="0" fontId="12" fillId="0" borderId="0" xfId="0" applyFont="1" applyBorder="1" applyAlignment="1">
      <alignment horizontal="left" vertical="center" indent="1"/>
    </xf>
    <xf numFmtId="165" fontId="12" fillId="0" borderId="0" xfId="1" applyNumberFormat="1" applyFont="1" applyBorder="1" applyAlignment="1">
      <alignment vertical="center"/>
    </xf>
    <xf numFmtId="0" fontId="14" fillId="0" borderId="27" xfId="0" applyFont="1" applyBorder="1" applyAlignment="1">
      <alignment horizontal="left" vertical="center" indent="1"/>
    </xf>
    <xf numFmtId="165" fontId="14" fillId="0" borderId="27" xfId="1" applyNumberFormat="1" applyFont="1" applyBorder="1" applyAlignment="1">
      <alignment vertical="center"/>
    </xf>
    <xf numFmtId="0" fontId="2" fillId="0" borderId="0" xfId="0" applyFont="1" applyAlignment="1">
      <alignment horizontal="center"/>
    </xf>
    <xf numFmtId="0" fontId="7" fillId="0" borderId="0" xfId="0" applyFont="1"/>
    <xf numFmtId="0" fontId="2" fillId="0" borderId="25" xfId="0" applyFont="1" applyBorder="1" applyAlignment="1">
      <alignment horizontal="center" vertical="center"/>
    </xf>
    <xf numFmtId="0" fontId="0" fillId="0" borderId="0" xfId="0" applyBorder="1" applyAlignment="1">
      <alignment horizontal="center" vertical="center"/>
    </xf>
    <xf numFmtId="0" fontId="0" fillId="0" borderId="25" xfId="0" applyBorder="1" applyAlignment="1">
      <alignment horizontal="center" vertical="center"/>
    </xf>
    <xf numFmtId="0" fontId="0" fillId="0" borderId="28" xfId="0" applyBorder="1" applyAlignment="1">
      <alignment horizontal="center" vertical="center"/>
    </xf>
    <xf numFmtId="165" fontId="0" fillId="0" borderId="0" xfId="1" applyNumberFormat="1" applyFont="1" applyBorder="1" applyAlignment="1">
      <alignment horizontal="center" vertical="center"/>
    </xf>
    <xf numFmtId="0" fontId="4" fillId="3" borderId="0" xfId="0" applyFont="1" applyFill="1" applyAlignment="1">
      <alignment horizontal="center" vertical="center"/>
    </xf>
    <xf numFmtId="0" fontId="0" fillId="3" borderId="0" xfId="0" applyFill="1" applyAlignment="1">
      <alignment horizontal="center" vertical="center"/>
    </xf>
    <xf numFmtId="0" fontId="19" fillId="0" borderId="0" xfId="0" applyFont="1" applyBorder="1" applyAlignment="1">
      <alignment horizontal="left" vertical="top" wrapText="1"/>
    </xf>
    <xf numFmtId="0" fontId="4" fillId="3" borderId="0" xfId="0" applyNumberFormat="1" applyFont="1" applyFill="1" applyAlignment="1">
      <alignment horizontal="center" vertical="center"/>
    </xf>
    <xf numFmtId="0" fontId="9" fillId="2" borderId="0" xfId="0" applyFont="1" applyFill="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7" fillId="9" borderId="4" xfId="0" applyFont="1" applyFill="1" applyBorder="1" applyAlignment="1">
      <alignment horizontal="center" vertical="center"/>
    </xf>
    <xf numFmtId="0" fontId="24" fillId="0" borderId="0" xfId="0" applyFont="1" applyAlignment="1">
      <alignment horizontal="right" vertical="center" indent="1"/>
    </xf>
    <xf numFmtId="167" fontId="7" fillId="9" borderId="4" xfId="0" applyNumberFormat="1" applyFont="1" applyFill="1" applyBorder="1" applyAlignment="1">
      <alignment horizontal="center" vertical="center"/>
    </xf>
    <xf numFmtId="164" fontId="0" fillId="0" borderId="28" xfId="0" applyNumberFormat="1" applyBorder="1" applyAlignment="1">
      <alignment horizontal="center" vertical="center"/>
    </xf>
    <xf numFmtId="164" fontId="0" fillId="0" borderId="0" xfId="0" applyNumberFormat="1" applyBorder="1" applyAlignment="1">
      <alignment horizontal="center" vertical="center"/>
    </xf>
    <xf numFmtId="164" fontId="0" fillId="0" borderId="25" xfId="0" applyNumberFormat="1" applyBorder="1" applyAlignment="1">
      <alignment horizontal="center" vertical="center"/>
    </xf>
    <xf numFmtId="0" fontId="9" fillId="10" borderId="0" xfId="0" applyFont="1" applyFill="1" applyAlignment="1">
      <alignment horizontal="center" vertical="center"/>
    </xf>
    <xf numFmtId="0" fontId="9" fillId="11" borderId="0" xfId="0" applyFont="1" applyFill="1" applyAlignment="1">
      <alignment horizontal="center" vertical="center"/>
    </xf>
    <xf numFmtId="165" fontId="0" fillId="0" borderId="25" xfId="1" applyNumberFormat="1" applyFont="1" applyBorder="1" applyAlignment="1">
      <alignment horizontal="center" vertical="center"/>
    </xf>
    <xf numFmtId="0" fontId="0" fillId="0" borderId="20" xfId="0" applyBorder="1" applyAlignment="1">
      <alignment horizontal="right"/>
    </xf>
    <xf numFmtId="9" fontId="0" fillId="0" borderId="0" xfId="2" applyFont="1"/>
    <xf numFmtId="0" fontId="33" fillId="0" borderId="0" xfId="0" applyFont="1" applyBorder="1" applyAlignment="1">
      <alignment vertical="top"/>
    </xf>
    <xf numFmtId="0" fontId="34" fillId="0" borderId="0" xfId="0" applyFont="1" applyBorder="1" applyAlignment="1">
      <alignment vertical="top"/>
    </xf>
    <xf numFmtId="170" fontId="0" fillId="0" borderId="0" xfId="2" applyNumberFormat="1" applyFont="1"/>
  </cellXfs>
  <cellStyles count="3">
    <cellStyle name="Comma" xfId="1" builtinId="3"/>
    <cellStyle name="Normal" xfId="0" builtinId="0"/>
    <cellStyle name="Percent" xfId="2" builtinId="5"/>
  </cellStyles>
  <dxfs count="123">
    <dxf>
      <fill>
        <patternFill>
          <bgColor rgb="FFC0C0C0"/>
        </patternFill>
      </fill>
    </dxf>
    <dxf>
      <fill>
        <patternFill>
          <bgColor rgb="FFCCECFF"/>
        </patternFill>
      </fill>
    </dxf>
    <dxf>
      <fill>
        <patternFill>
          <bgColor rgb="FF99CCFF"/>
        </patternFill>
      </fill>
    </dxf>
    <dxf>
      <fill>
        <patternFill>
          <bgColor rgb="FF6699FF"/>
        </patternFill>
      </fill>
    </dxf>
    <dxf>
      <fill>
        <patternFill>
          <bgColor rgb="FF0066FF"/>
        </patternFill>
      </fill>
    </dxf>
    <dxf>
      <fill>
        <patternFill>
          <bgColor rgb="FF0033CC"/>
        </patternFill>
      </fill>
    </dxf>
    <dxf>
      <fill>
        <patternFill>
          <bgColor rgb="FFC0C0C0"/>
        </patternFill>
      </fill>
    </dxf>
    <dxf>
      <fill>
        <patternFill>
          <bgColor rgb="FFFF9999"/>
        </patternFill>
      </fill>
    </dxf>
    <dxf>
      <fill>
        <patternFill>
          <bgColor rgb="FFFF7C80"/>
        </patternFill>
      </fill>
    </dxf>
    <dxf>
      <fill>
        <patternFill>
          <bgColor rgb="FFFF5050"/>
        </patternFill>
      </fill>
    </dxf>
    <dxf>
      <fill>
        <patternFill>
          <bgColor rgb="FFFF0000"/>
        </patternFill>
      </fill>
    </dxf>
    <dxf>
      <fill>
        <patternFill>
          <bgColor rgb="FFCC0000"/>
        </patternFill>
      </fill>
    </dxf>
    <dxf>
      <fill>
        <patternFill>
          <bgColor rgb="FFC0C0C0"/>
        </patternFill>
      </fill>
    </dxf>
    <dxf>
      <fill>
        <patternFill>
          <bgColor rgb="FF66FF66"/>
        </patternFill>
      </fill>
    </dxf>
    <dxf>
      <fill>
        <patternFill>
          <bgColor rgb="FF00FF00"/>
        </patternFill>
      </fill>
    </dxf>
    <dxf>
      <fill>
        <patternFill>
          <bgColor rgb="FF00CC66"/>
        </patternFill>
      </fill>
    </dxf>
    <dxf>
      <fill>
        <patternFill>
          <bgColor rgb="FF00CC00"/>
        </patternFill>
      </fill>
    </dxf>
    <dxf>
      <fill>
        <patternFill>
          <bgColor rgb="FF008000"/>
        </patternFill>
      </fill>
    </dxf>
    <dxf>
      <fill>
        <patternFill>
          <bgColor rgb="FFFF5050"/>
        </patternFill>
      </fill>
    </dxf>
    <dxf>
      <fill>
        <patternFill>
          <bgColor theme="4" tint="0.39994506668294322"/>
        </patternFill>
      </fill>
    </dxf>
    <dxf>
      <fill>
        <patternFill>
          <bgColor theme="4" tint="0.39994506668294322"/>
        </patternFill>
      </fill>
    </dxf>
    <dxf>
      <fill>
        <patternFill>
          <bgColor rgb="FF66FF99"/>
        </patternFill>
      </fill>
    </dxf>
    <dxf>
      <font>
        <b/>
        <i val="0"/>
      </font>
      <border>
        <top style="thin">
          <color auto="1"/>
        </top>
        <vertical/>
        <horizontal/>
      </border>
    </dxf>
    <dxf>
      <font>
        <b/>
        <i val="0"/>
        <color theme="0"/>
      </font>
      <fill>
        <patternFill>
          <bgColor rgb="FF00B050"/>
        </patternFill>
      </fill>
    </dxf>
    <dxf>
      <font>
        <b/>
        <i val="0"/>
        <color theme="0"/>
      </font>
      <fill>
        <patternFill>
          <bgColor rgb="FFFF0000"/>
        </patternFill>
      </fill>
    </dxf>
    <dxf>
      <font>
        <b/>
        <i val="0"/>
        <color theme="0"/>
      </font>
      <fill>
        <patternFill>
          <bgColor rgb="FF0070C0"/>
        </patternFill>
      </fill>
    </dxf>
    <dxf>
      <font>
        <color theme="1"/>
      </font>
      <numFmt numFmtId="168" formatCode="\→\ d/mmm/yy"/>
    </dxf>
    <dxf>
      <font>
        <b/>
        <i val="0"/>
        <color rgb="FF00B050"/>
      </font>
      <numFmt numFmtId="3" formatCode="#,##0"/>
    </dxf>
    <dxf>
      <font>
        <color rgb="FFFF0000"/>
      </font>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rgb="FFFF0000"/>
      </font>
    </dxf>
    <dxf>
      <font>
        <color rgb="FF00B050"/>
      </font>
    </dxf>
    <dxf>
      <font>
        <color theme="2" tint="-0.499984740745262"/>
      </font>
      <fill>
        <patternFill patternType="none">
          <bgColor auto="1"/>
        </patternFill>
      </fill>
    </dxf>
    <dxf>
      <font>
        <color theme="1"/>
      </font>
      <fill>
        <patternFill>
          <bgColor theme="8" tint="0.39994506668294322"/>
        </patternFill>
      </fill>
    </dxf>
    <dxf>
      <font>
        <color theme="1"/>
      </font>
      <fill>
        <patternFill>
          <bgColor theme="5" tint="0.39994506668294322"/>
        </patternFill>
      </fill>
    </dxf>
    <dxf>
      <font>
        <color theme="1"/>
      </font>
      <fill>
        <patternFill>
          <bgColor theme="9" tint="0.39994506668294322"/>
        </patternFill>
      </fill>
    </dxf>
    <dxf>
      <font>
        <color theme="0" tint="-0.34998626667073579"/>
      </font>
      <fill>
        <patternFill>
          <bgColor theme="0" tint="-4.9989318521683403E-2"/>
        </patternFill>
      </fill>
    </dxf>
    <dxf>
      <font>
        <strike val="0"/>
        <outline val="0"/>
        <shadow val="0"/>
        <u val="none"/>
        <vertAlign val="baseline"/>
        <sz val="10"/>
        <color theme="0" tint="-0.249977111117893"/>
        <name val="Calibri"/>
        <scheme val="minor"/>
      </font>
      <numFmt numFmtId="166" formatCode="d/mmm/yy"/>
      <alignment horizontal="right" vertical="bottom" textRotation="0" wrapText="0" indent="1" justifyLastLine="0" shrinkToFit="0" readingOrder="0"/>
    </dxf>
    <dxf>
      <font>
        <strike val="0"/>
        <outline val="0"/>
        <shadow val="0"/>
        <u val="none"/>
        <vertAlign val="baseline"/>
        <sz val="10"/>
        <color theme="0" tint="-0.34998626667073579"/>
        <name val="Calibri"/>
        <scheme val="minor"/>
      </font>
      <numFmt numFmtId="165" formatCode="_ * #,##0_ ;_ * \-#,##0_ ;_ * &quot;-&quot;??_ ;_ @_ "/>
      <alignment horizontal="left" vertical="bottom" textRotation="0" wrapText="0" relativeIndent="1" justifyLastLine="0" shrinkToFit="0" readingOrder="0"/>
    </dxf>
    <dxf>
      <font>
        <strike val="0"/>
        <outline val="0"/>
        <shadow val="0"/>
        <u val="none"/>
        <vertAlign val="baseline"/>
        <sz val="10"/>
        <color theme="0" tint="-0.34998626667073579"/>
        <name val="Calibri"/>
        <scheme val="minor"/>
      </font>
      <alignment horizontal="left" vertical="bottom" textRotation="0" wrapText="0" relativeIndent="1" justifyLastLine="0" shrinkToFit="0" readingOrder="0"/>
    </dxf>
    <dxf>
      <font>
        <strike val="0"/>
        <outline val="0"/>
        <shadow val="0"/>
        <u val="none"/>
        <vertAlign val="baseline"/>
        <sz val="10"/>
        <color theme="1"/>
        <name val="Calibri"/>
        <scheme val="minor"/>
      </font>
      <numFmt numFmtId="165" formatCode="_ * #,##0_ ;_ * \-#,##0_ ;_ * &quot;-&quot;??_ ;_ @_ "/>
      <alignment horizontal="left" vertical="bottom" textRotation="0" wrapText="0" relativeIndent="1" justifyLastLine="0" shrinkToFit="0" readingOrder="0"/>
    </dxf>
    <dxf>
      <font>
        <strike val="0"/>
        <outline val="0"/>
        <shadow val="0"/>
        <u val="none"/>
        <vertAlign val="baseline"/>
        <sz val="10"/>
        <color theme="1"/>
        <name val="Calibri"/>
        <scheme val="minor"/>
      </font>
      <alignment horizontal="left" vertical="bottom" textRotation="0" wrapText="0" relativeIndent="1" justifyLastLine="0" shrinkToFit="0" readingOrder="0"/>
    </dxf>
    <dxf>
      <font>
        <strike val="0"/>
        <outline val="0"/>
        <shadow val="0"/>
        <u val="none"/>
        <vertAlign val="baseline"/>
        <sz val="10"/>
        <color theme="1"/>
        <name val="Calibri"/>
        <scheme val="minor"/>
      </font>
      <alignment horizontal="left" vertical="bottom" textRotation="0" wrapText="0" relativeIndent="1" justifyLastLine="0" shrinkToFit="0" readingOrder="0"/>
    </dxf>
    <dxf>
      <font>
        <strike val="0"/>
        <outline val="0"/>
        <shadow val="0"/>
        <u val="none"/>
        <vertAlign val="baseline"/>
        <sz val="10"/>
        <color theme="1"/>
        <name val="Calibri"/>
        <scheme val="minor"/>
      </font>
      <numFmt numFmtId="166" formatCode="d/mmm/yy"/>
      <alignment horizontal="left" vertical="bottom" textRotation="0" wrapText="0" relativeIndent="1" justifyLastLine="0" shrinkToFit="0" readingOrder="0"/>
    </dxf>
    <dxf>
      <font>
        <strike val="0"/>
        <outline val="0"/>
        <shadow val="0"/>
        <u val="none"/>
        <vertAlign val="baseline"/>
        <sz val="10"/>
        <color theme="1"/>
        <name val="Calibri"/>
        <scheme val="minor"/>
      </font>
      <alignment horizontal="left" vertical="bottom" textRotation="0" wrapText="0" relativeIndent="1"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2" tint="-0.249977111117893"/>
        <name val="Calibri"/>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scheme val="minor"/>
      </font>
      <alignment horizontal="left" vertical="bottom" textRotation="0" wrapText="0" indent="1" justifyLastLine="0" shrinkToFit="0" readingOrder="0"/>
    </dxf>
    <dxf>
      <fill>
        <patternFill patternType="solid">
          <bgColor theme="0" tint="-0.14996795556505021"/>
        </patternFill>
      </fill>
    </dxf>
    <dxf>
      <font>
        <b/>
        <i val="0"/>
        <color theme="0"/>
      </font>
      <fill>
        <patternFill>
          <bgColor theme="8" tint="-0.499984740745262"/>
        </patternFill>
      </fill>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left style="thin">
          <color theme="2" tint="-0.499984740745262"/>
        </left>
        <right style="thin">
          <color theme="2" tint="-0.499984740745262"/>
        </right>
        <top style="thin">
          <color theme="2" tint="-0.499984740745262"/>
        </top>
        <bottom style="thin">
          <color theme="2" tint="-0.499984740745262"/>
        </bottom>
        <vertical/>
        <horizontal/>
      </border>
    </dxf>
    <dxf>
      <font>
        <b/>
        <i val="0"/>
        <color theme="0"/>
      </font>
      <fill>
        <patternFill>
          <bgColor rgb="FF0070C0"/>
        </patternFill>
      </fill>
    </dxf>
    <dxf>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i val="0"/>
        <color theme="0"/>
      </font>
      <fill>
        <patternFill>
          <bgColor rgb="FF00B050"/>
        </patternFill>
      </fill>
    </dxf>
    <dxf>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font>
        <b/>
        <i val="0"/>
        <color theme="0"/>
      </font>
      <fill>
        <patternFill>
          <bgColor theme="5" tint="-0.24994659260841701"/>
        </patternFill>
      </fill>
    </dxf>
    <dxf>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s>
  <tableStyles count="4" defaultTableStyle="TableStyleMedium2" defaultPivotStyle="PivotStyleLight16">
    <tableStyle name="Expenses Table Style  " pivot="0" count="2">
      <tableStyleElement type="wholeTable" dxfId="122"/>
      <tableStyleElement type="headerRow" dxfId="121"/>
    </tableStyle>
    <tableStyle name="Income Table Style " pivot="0" count="2">
      <tableStyleElement type="wholeTable" dxfId="120"/>
      <tableStyleElement type="headerRow" dxfId="119"/>
    </tableStyle>
    <tableStyle name="Savings Table Style  " pivot="0" count="2">
      <tableStyleElement type="wholeTable" dxfId="118"/>
      <tableStyleElement type="headerRow" dxfId="117"/>
    </tableStyle>
    <tableStyle name="Tracking Table Style   " pivot="0" count="3">
      <tableStyleElement type="wholeTable" dxfId="116"/>
      <tableStyleElement type="headerRow" dxfId="115"/>
      <tableStyleElement type="firstRowStripe" dxfId="114"/>
    </tableStyle>
  </tableStyles>
  <colors>
    <mruColors>
      <color rgb="FF004A82"/>
      <color rgb="FFB00000"/>
      <color rgb="FF65BDFF"/>
      <color rgb="FFFF7171"/>
      <color rgb="FF00AC4E"/>
      <color rgb="FF00BC55"/>
      <color rgb="FF00B050"/>
      <color rgb="FF61FFA8"/>
      <color rgb="FF4BFF9C"/>
      <color rgb="FF00DE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853561601360405E-2"/>
          <c:y val="0"/>
          <c:w val="0.85627572016460907"/>
          <c:h val="0.85627572016460907"/>
        </c:manualLayout>
      </c:layout>
      <c:doughnutChart>
        <c:varyColors val="1"/>
        <c:ser>
          <c:idx val="0"/>
          <c:order val="0"/>
          <c:dPt>
            <c:idx val="0"/>
            <c:bubble3D val="0"/>
            <c:spPr>
              <a:solidFill>
                <a:srgbClr val="008E40"/>
              </a:solidFill>
              <a:ln w="19050">
                <a:solidFill>
                  <a:schemeClr val="lt1"/>
                </a:solidFill>
              </a:ln>
              <a:effectLst/>
            </c:spPr>
            <c:extLst>
              <c:ext xmlns:c16="http://schemas.microsoft.com/office/drawing/2014/chart" uri="{C3380CC4-5D6E-409C-BE32-E72D297353CC}">
                <c16:uniqueId val="{00000001-A26A-420E-B5F9-8DEF4B0D0B92}"/>
              </c:ext>
            </c:extLst>
          </c:dPt>
          <c:dPt>
            <c:idx val="1"/>
            <c:bubble3D val="0"/>
            <c:spPr>
              <a:solidFill>
                <a:srgbClr val="16AA1D"/>
              </a:solidFill>
              <a:ln w="19050">
                <a:solidFill>
                  <a:schemeClr val="lt1"/>
                </a:solidFill>
              </a:ln>
              <a:effectLst/>
            </c:spPr>
            <c:extLst>
              <c:ext xmlns:c16="http://schemas.microsoft.com/office/drawing/2014/chart" uri="{C3380CC4-5D6E-409C-BE32-E72D297353CC}">
                <c16:uniqueId val="{00000003-A26A-420E-B5F9-8DEF4B0D0B92}"/>
              </c:ext>
            </c:extLst>
          </c:dPt>
          <c:dPt>
            <c:idx val="2"/>
            <c:bubble3D val="0"/>
            <c:spPr>
              <a:solidFill>
                <a:srgbClr val="25BD5F"/>
              </a:solidFill>
              <a:ln w="19050">
                <a:solidFill>
                  <a:schemeClr val="lt1"/>
                </a:solidFill>
              </a:ln>
              <a:effectLst/>
            </c:spPr>
            <c:extLst>
              <c:ext xmlns:c16="http://schemas.microsoft.com/office/drawing/2014/chart" uri="{C3380CC4-5D6E-409C-BE32-E72D297353CC}">
                <c16:uniqueId val="{00000005-A26A-420E-B5F9-8DEF4B0D0B92}"/>
              </c:ext>
            </c:extLst>
          </c:dPt>
          <c:dPt>
            <c:idx val="3"/>
            <c:bubble3D val="0"/>
            <c:spPr>
              <a:solidFill>
                <a:srgbClr val="23E528"/>
              </a:solidFill>
              <a:ln w="19050">
                <a:solidFill>
                  <a:schemeClr val="lt1"/>
                </a:solidFill>
              </a:ln>
              <a:effectLst/>
            </c:spPr>
            <c:extLst>
              <c:ext xmlns:c16="http://schemas.microsoft.com/office/drawing/2014/chart" uri="{C3380CC4-5D6E-409C-BE32-E72D297353CC}">
                <c16:uniqueId val="{00000007-A26A-420E-B5F9-8DEF4B0D0B92}"/>
              </c:ext>
            </c:extLst>
          </c:dPt>
          <c:dPt>
            <c:idx val="4"/>
            <c:bubble3D val="0"/>
            <c:spPr>
              <a:solidFill>
                <a:srgbClr val="42EA4A"/>
              </a:solidFill>
              <a:ln w="19050">
                <a:solidFill>
                  <a:schemeClr val="lt1"/>
                </a:solidFill>
              </a:ln>
              <a:effectLst/>
            </c:spPr>
            <c:extLst>
              <c:ext xmlns:c16="http://schemas.microsoft.com/office/drawing/2014/chart" uri="{C3380CC4-5D6E-409C-BE32-E72D297353CC}">
                <c16:uniqueId val="{00000009-A26A-420E-B5F9-8DEF4B0D0B92}"/>
              </c:ext>
            </c:extLst>
          </c:dPt>
          <c:dPt>
            <c:idx val="5"/>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B-A26A-420E-B5F9-8DEF4B0D0B92}"/>
              </c:ext>
            </c:extLst>
          </c:dPt>
          <c:cat>
            <c:strRef>
              <c:f>Calculations!$E$35:$E$40</c:f>
              <c:strCache>
                <c:ptCount val="3"/>
                <c:pt idx="0">
                  <c:v>Employement</c:v>
                </c:pt>
                <c:pt idx="1">
                  <c:v>Side hustle</c:v>
                </c:pt>
                <c:pt idx="2">
                  <c:v>Dividends</c:v>
                </c:pt>
              </c:strCache>
            </c:strRef>
          </c:cat>
          <c:val>
            <c:numRef>
              <c:f>Calculations!$F$35:$F$40</c:f>
              <c:numCache>
                <c:formatCode>_ * #,##0_ ;_ * \-#,##0_ ;_ * "-"??_ ;_ @_ </c:formatCode>
                <c:ptCount val="6"/>
                <c:pt idx="0">
                  <c:v>3500</c:v>
                </c:pt>
                <c:pt idx="1">
                  <c:v>500</c:v>
                </c:pt>
                <c:pt idx="2">
                  <c:v>50</c:v>
                </c:pt>
                <c:pt idx="3">
                  <c:v>0</c:v>
                </c:pt>
                <c:pt idx="4">
                  <c:v>0</c:v>
                </c:pt>
                <c:pt idx="5">
                  <c:v>0</c:v>
                </c:pt>
              </c:numCache>
            </c:numRef>
          </c:val>
          <c:extLst>
            <c:ext xmlns:c16="http://schemas.microsoft.com/office/drawing/2014/chart" uri="{C3380CC4-5D6E-409C-BE32-E72D297353CC}">
              <c16:uniqueId val="{0000000C-A26A-420E-B5F9-8DEF4B0D0B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853561601360405E-2"/>
          <c:y val="0"/>
          <c:w val="0.85627572016460907"/>
          <c:h val="0.85627572016460907"/>
        </c:manualLayout>
      </c:layout>
      <c:doughnutChart>
        <c:varyColors val="1"/>
        <c:ser>
          <c:idx val="0"/>
          <c:order val="0"/>
          <c:dPt>
            <c:idx val="0"/>
            <c:bubble3D val="0"/>
            <c:spPr>
              <a:solidFill>
                <a:srgbClr val="CC0000"/>
              </a:solidFill>
              <a:ln w="19050">
                <a:solidFill>
                  <a:schemeClr val="lt1"/>
                </a:solidFill>
              </a:ln>
              <a:effectLst/>
            </c:spPr>
            <c:extLst>
              <c:ext xmlns:c16="http://schemas.microsoft.com/office/drawing/2014/chart" uri="{C3380CC4-5D6E-409C-BE32-E72D297353CC}">
                <c16:uniqueId val="{00000001-F26C-41CC-8577-0F24DADDBC81}"/>
              </c:ext>
            </c:extLst>
          </c:dPt>
          <c:dPt>
            <c:idx val="1"/>
            <c:bubble3D val="0"/>
            <c:spPr>
              <a:solidFill>
                <a:srgbClr val="E72A0B"/>
              </a:solidFill>
              <a:ln w="19050">
                <a:solidFill>
                  <a:schemeClr val="lt1"/>
                </a:solidFill>
              </a:ln>
              <a:effectLst/>
            </c:spPr>
            <c:extLst>
              <c:ext xmlns:c16="http://schemas.microsoft.com/office/drawing/2014/chart" uri="{C3380CC4-5D6E-409C-BE32-E72D297353CC}">
                <c16:uniqueId val="{00000003-F26C-41CC-8577-0F24DADDBC81}"/>
              </c:ext>
            </c:extLst>
          </c:dPt>
          <c:dPt>
            <c:idx val="2"/>
            <c:bubble3D val="0"/>
            <c:spPr>
              <a:solidFill>
                <a:srgbClr val="F55D51"/>
              </a:solidFill>
              <a:ln w="19050">
                <a:solidFill>
                  <a:schemeClr val="lt1"/>
                </a:solidFill>
              </a:ln>
              <a:effectLst/>
            </c:spPr>
            <c:extLst>
              <c:ext xmlns:c16="http://schemas.microsoft.com/office/drawing/2014/chart" uri="{C3380CC4-5D6E-409C-BE32-E72D297353CC}">
                <c16:uniqueId val="{00000005-F26C-41CC-8577-0F24DADDBC81}"/>
              </c:ext>
            </c:extLst>
          </c:dPt>
          <c:dPt>
            <c:idx val="3"/>
            <c:bubble3D val="0"/>
            <c:spPr>
              <a:solidFill>
                <a:srgbClr val="F6987E"/>
              </a:solidFill>
              <a:ln w="19050">
                <a:solidFill>
                  <a:schemeClr val="lt1"/>
                </a:solidFill>
              </a:ln>
              <a:effectLst/>
            </c:spPr>
            <c:extLst>
              <c:ext xmlns:c16="http://schemas.microsoft.com/office/drawing/2014/chart" uri="{C3380CC4-5D6E-409C-BE32-E72D297353CC}">
                <c16:uniqueId val="{00000007-F26C-41CC-8577-0F24DADDBC81}"/>
              </c:ext>
            </c:extLst>
          </c:dPt>
          <c:dPt>
            <c:idx val="4"/>
            <c:bubble3D val="0"/>
            <c:spPr>
              <a:solidFill>
                <a:srgbClr val="F9BAAD"/>
              </a:solidFill>
              <a:ln w="19050">
                <a:solidFill>
                  <a:schemeClr val="lt1"/>
                </a:solidFill>
              </a:ln>
              <a:effectLst/>
            </c:spPr>
            <c:extLst>
              <c:ext xmlns:c16="http://schemas.microsoft.com/office/drawing/2014/chart" uri="{C3380CC4-5D6E-409C-BE32-E72D297353CC}">
                <c16:uniqueId val="{00000009-F26C-41CC-8577-0F24DADDBC81}"/>
              </c:ext>
            </c:extLst>
          </c:dPt>
          <c:dPt>
            <c:idx val="5"/>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B-F26C-41CC-8577-0F24DADDBC81}"/>
              </c:ext>
            </c:extLst>
          </c:dPt>
          <c:cat>
            <c:strRef>
              <c:f>Calculations!$I$35:$I$40</c:f>
              <c:strCache>
                <c:ptCount val="6"/>
                <c:pt idx="0">
                  <c:v>Housing</c:v>
                </c:pt>
                <c:pt idx="1">
                  <c:v>Groceries</c:v>
                </c:pt>
                <c:pt idx="2">
                  <c:v>Transportation</c:v>
                </c:pt>
                <c:pt idx="3">
                  <c:v>Utilities</c:v>
                </c:pt>
                <c:pt idx="4">
                  <c:v>Body Care &amp; Medicine</c:v>
                </c:pt>
                <c:pt idx="5">
                  <c:v>Other</c:v>
                </c:pt>
              </c:strCache>
            </c:strRef>
          </c:cat>
          <c:val>
            <c:numRef>
              <c:f>Calculations!$J$35:$J$40</c:f>
              <c:numCache>
                <c:formatCode>_ * #,##0_ ;_ * \-#,##0_ ;_ * "-"??_ ;_ @_ </c:formatCode>
                <c:ptCount val="6"/>
                <c:pt idx="0">
                  <c:v>1200</c:v>
                </c:pt>
                <c:pt idx="1">
                  <c:v>400</c:v>
                </c:pt>
                <c:pt idx="2">
                  <c:v>380</c:v>
                </c:pt>
                <c:pt idx="3">
                  <c:v>300</c:v>
                </c:pt>
                <c:pt idx="4">
                  <c:v>270</c:v>
                </c:pt>
                <c:pt idx="5">
                  <c:v>460</c:v>
                </c:pt>
              </c:numCache>
            </c:numRef>
          </c:val>
          <c:extLst>
            <c:ext xmlns:c16="http://schemas.microsoft.com/office/drawing/2014/chart" uri="{C3380CC4-5D6E-409C-BE32-E72D297353CC}">
              <c16:uniqueId val="{0000000C-F26C-41CC-8577-0F24DADDBC8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853561601360405E-2"/>
          <c:y val="0"/>
          <c:w val="0.85627572016460907"/>
          <c:h val="0.85627572016460907"/>
        </c:manualLayout>
      </c:layout>
      <c:doughnutChart>
        <c:varyColors val="1"/>
        <c:ser>
          <c:idx val="0"/>
          <c:order val="0"/>
          <c:dPt>
            <c:idx val="0"/>
            <c:bubble3D val="0"/>
            <c:spPr>
              <a:solidFill>
                <a:srgbClr val="0033CC"/>
              </a:solidFill>
              <a:ln w="19050">
                <a:solidFill>
                  <a:schemeClr val="lt1"/>
                </a:solidFill>
              </a:ln>
              <a:effectLst/>
            </c:spPr>
            <c:extLst>
              <c:ext xmlns:c16="http://schemas.microsoft.com/office/drawing/2014/chart" uri="{C3380CC4-5D6E-409C-BE32-E72D297353CC}">
                <c16:uniqueId val="{00000001-16CA-4B69-94EE-B8B95115187E}"/>
              </c:ext>
            </c:extLst>
          </c:dPt>
          <c:dPt>
            <c:idx val="1"/>
            <c:bubble3D val="0"/>
            <c:spPr>
              <a:solidFill>
                <a:srgbClr val="0066FF"/>
              </a:solidFill>
              <a:ln w="19050">
                <a:solidFill>
                  <a:schemeClr val="lt1"/>
                </a:solidFill>
              </a:ln>
              <a:effectLst/>
            </c:spPr>
            <c:extLst>
              <c:ext xmlns:c16="http://schemas.microsoft.com/office/drawing/2014/chart" uri="{C3380CC4-5D6E-409C-BE32-E72D297353CC}">
                <c16:uniqueId val="{00000003-16CA-4B69-94EE-B8B95115187E}"/>
              </c:ext>
            </c:extLst>
          </c:dPt>
          <c:dPt>
            <c:idx val="2"/>
            <c:bubble3D val="0"/>
            <c:spPr>
              <a:solidFill>
                <a:srgbClr val="6699FF"/>
              </a:solidFill>
              <a:ln w="19050">
                <a:solidFill>
                  <a:schemeClr val="lt1"/>
                </a:solidFill>
              </a:ln>
              <a:effectLst/>
            </c:spPr>
            <c:extLst>
              <c:ext xmlns:c16="http://schemas.microsoft.com/office/drawing/2014/chart" uri="{C3380CC4-5D6E-409C-BE32-E72D297353CC}">
                <c16:uniqueId val="{00000005-16CA-4B69-94EE-B8B95115187E}"/>
              </c:ext>
            </c:extLst>
          </c:dPt>
          <c:dPt>
            <c:idx val="3"/>
            <c:bubble3D val="0"/>
            <c:spPr>
              <a:solidFill>
                <a:srgbClr val="99CCFF"/>
              </a:solidFill>
              <a:ln w="19050">
                <a:solidFill>
                  <a:schemeClr val="lt1"/>
                </a:solidFill>
              </a:ln>
              <a:effectLst/>
            </c:spPr>
            <c:extLst>
              <c:ext xmlns:c16="http://schemas.microsoft.com/office/drawing/2014/chart" uri="{C3380CC4-5D6E-409C-BE32-E72D297353CC}">
                <c16:uniqueId val="{00000007-16CA-4B69-94EE-B8B95115187E}"/>
              </c:ext>
            </c:extLst>
          </c:dPt>
          <c:dPt>
            <c:idx val="4"/>
            <c:bubble3D val="0"/>
            <c:spPr>
              <a:solidFill>
                <a:srgbClr val="CCECFF"/>
              </a:solidFill>
              <a:ln w="19050">
                <a:solidFill>
                  <a:schemeClr val="lt1"/>
                </a:solidFill>
              </a:ln>
              <a:effectLst/>
            </c:spPr>
            <c:extLst>
              <c:ext xmlns:c16="http://schemas.microsoft.com/office/drawing/2014/chart" uri="{C3380CC4-5D6E-409C-BE32-E72D297353CC}">
                <c16:uniqueId val="{00000009-16CA-4B69-94EE-B8B95115187E}"/>
              </c:ext>
            </c:extLst>
          </c:dPt>
          <c:dPt>
            <c:idx val="5"/>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B-16CA-4B69-94EE-B8B95115187E}"/>
              </c:ext>
            </c:extLst>
          </c:dPt>
          <c:cat>
            <c:strRef>
              <c:f>Calculations!$M$35:$M$40</c:f>
              <c:strCache>
                <c:ptCount val="6"/>
                <c:pt idx="0">
                  <c:v>Stock Portfolio</c:v>
                </c:pt>
                <c:pt idx="1">
                  <c:v>Retirement Fund</c:v>
                </c:pt>
                <c:pt idx="2">
                  <c:v>Emergency Fund</c:v>
                </c:pt>
                <c:pt idx="4">
                  <c:v>#N/A</c:v>
                </c:pt>
                <c:pt idx="5">
                  <c:v>#N/A</c:v>
                </c:pt>
              </c:strCache>
            </c:strRef>
          </c:cat>
          <c:val>
            <c:numRef>
              <c:f>Calculations!$N$35:$N$40</c:f>
              <c:numCache>
                <c:formatCode>_ * #,##0_ ;_ * \-#,##0_ ;_ * "-"??_ ;_ @_ </c:formatCode>
                <c:ptCount val="6"/>
                <c:pt idx="0">
                  <c:v>500</c:v>
                </c:pt>
                <c:pt idx="1">
                  <c:v>400</c:v>
                </c:pt>
                <c:pt idx="2">
                  <c:v>140</c:v>
                </c:pt>
                <c:pt idx="3">
                  <c:v>0</c:v>
                </c:pt>
                <c:pt idx="4">
                  <c:v>#N/A</c:v>
                </c:pt>
                <c:pt idx="5">
                  <c:v>#N/A</c:v>
                </c:pt>
              </c:numCache>
            </c:numRef>
          </c:val>
          <c:extLst>
            <c:ext xmlns:c16="http://schemas.microsoft.com/office/drawing/2014/chart" uri="{C3380CC4-5D6E-409C-BE32-E72D297353CC}">
              <c16:uniqueId val="{0000000C-16CA-4B69-94EE-B8B9511518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DE64"/>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FB63-4B88-A113-7171D172DA97}"/>
              </c:ext>
            </c:extLst>
          </c:dPt>
          <c:dPt>
            <c:idx val="2"/>
            <c:invertIfNegative val="0"/>
            <c:bubble3D val="0"/>
            <c:spPr>
              <a:solidFill>
                <a:srgbClr val="0070C0"/>
              </a:solidFill>
              <a:ln>
                <a:noFill/>
              </a:ln>
              <a:effectLst/>
            </c:spPr>
            <c:extLst>
              <c:ext xmlns:c16="http://schemas.microsoft.com/office/drawing/2014/chart" uri="{C3380CC4-5D6E-409C-BE32-E72D297353CC}">
                <c16:uniqueId val="{00000003-FB63-4B88-A113-7171D172DA97}"/>
              </c:ext>
            </c:extLst>
          </c:dPt>
          <c:dPt>
            <c:idx val="5"/>
            <c:invertIfNegative val="0"/>
            <c:bubble3D val="0"/>
            <c:spPr>
              <a:solidFill>
                <a:srgbClr val="FF0000"/>
              </a:solidFill>
              <a:ln>
                <a:noFill/>
              </a:ln>
              <a:effectLst/>
            </c:spPr>
            <c:extLst>
              <c:ext xmlns:c16="http://schemas.microsoft.com/office/drawing/2014/chart" uri="{C3380CC4-5D6E-409C-BE32-E72D297353CC}">
                <c16:uniqueId val="{00000005-FB63-4B88-A113-7171D172DA97}"/>
              </c:ext>
            </c:extLst>
          </c:dPt>
          <c:dPt>
            <c:idx val="6"/>
            <c:invertIfNegative val="0"/>
            <c:bubble3D val="0"/>
            <c:spPr>
              <a:solidFill>
                <a:srgbClr val="0070C0"/>
              </a:solidFill>
              <a:ln>
                <a:noFill/>
              </a:ln>
              <a:effectLst/>
            </c:spPr>
            <c:extLst>
              <c:ext xmlns:c16="http://schemas.microsoft.com/office/drawing/2014/chart" uri="{C3380CC4-5D6E-409C-BE32-E72D297353CC}">
                <c16:uniqueId val="{00000007-FB63-4B88-A113-7171D172DA97}"/>
              </c:ext>
            </c:extLst>
          </c:dPt>
          <c:dPt>
            <c:idx val="9"/>
            <c:invertIfNegative val="0"/>
            <c:bubble3D val="0"/>
            <c:spPr>
              <a:solidFill>
                <a:srgbClr val="FF0000"/>
              </a:solidFill>
              <a:ln>
                <a:noFill/>
              </a:ln>
              <a:effectLst/>
            </c:spPr>
            <c:extLst>
              <c:ext xmlns:c16="http://schemas.microsoft.com/office/drawing/2014/chart" uri="{C3380CC4-5D6E-409C-BE32-E72D297353CC}">
                <c16:uniqueId val="{00000009-FB63-4B88-A113-7171D172DA97}"/>
              </c:ext>
            </c:extLst>
          </c:dPt>
          <c:dPt>
            <c:idx val="10"/>
            <c:invertIfNegative val="0"/>
            <c:bubble3D val="0"/>
            <c:spPr>
              <a:solidFill>
                <a:srgbClr val="0070C0"/>
              </a:solidFill>
              <a:ln>
                <a:noFill/>
              </a:ln>
              <a:effectLst/>
            </c:spPr>
            <c:extLst>
              <c:ext xmlns:c16="http://schemas.microsoft.com/office/drawing/2014/chart" uri="{C3380CC4-5D6E-409C-BE32-E72D297353CC}">
                <c16:uniqueId val="{0000000B-FB63-4B88-A113-7171D172DA97}"/>
              </c:ext>
            </c:extLst>
          </c:dPt>
          <c:dPt>
            <c:idx val="13"/>
            <c:invertIfNegative val="0"/>
            <c:bubble3D val="0"/>
            <c:spPr>
              <a:solidFill>
                <a:srgbClr val="FF0000"/>
              </a:solidFill>
              <a:ln>
                <a:noFill/>
              </a:ln>
              <a:effectLst/>
            </c:spPr>
            <c:extLst>
              <c:ext xmlns:c16="http://schemas.microsoft.com/office/drawing/2014/chart" uri="{C3380CC4-5D6E-409C-BE32-E72D297353CC}">
                <c16:uniqueId val="{0000000D-FB63-4B88-A113-7171D172DA97}"/>
              </c:ext>
            </c:extLst>
          </c:dPt>
          <c:dPt>
            <c:idx val="14"/>
            <c:invertIfNegative val="0"/>
            <c:bubble3D val="0"/>
            <c:spPr>
              <a:solidFill>
                <a:srgbClr val="0070C0"/>
              </a:solidFill>
              <a:ln>
                <a:noFill/>
              </a:ln>
              <a:effectLst/>
            </c:spPr>
            <c:extLst>
              <c:ext xmlns:c16="http://schemas.microsoft.com/office/drawing/2014/chart" uri="{C3380CC4-5D6E-409C-BE32-E72D297353CC}">
                <c16:uniqueId val="{0000000F-FB63-4B88-A113-7171D172DA97}"/>
              </c:ext>
            </c:extLst>
          </c:dPt>
          <c:dPt>
            <c:idx val="17"/>
            <c:invertIfNegative val="0"/>
            <c:bubble3D val="0"/>
            <c:spPr>
              <a:solidFill>
                <a:srgbClr val="FF0000"/>
              </a:solidFill>
              <a:ln>
                <a:noFill/>
              </a:ln>
              <a:effectLst/>
            </c:spPr>
            <c:extLst>
              <c:ext xmlns:c16="http://schemas.microsoft.com/office/drawing/2014/chart" uri="{C3380CC4-5D6E-409C-BE32-E72D297353CC}">
                <c16:uniqueId val="{00000011-FB63-4B88-A113-7171D172DA97}"/>
              </c:ext>
            </c:extLst>
          </c:dPt>
          <c:dPt>
            <c:idx val="18"/>
            <c:invertIfNegative val="0"/>
            <c:bubble3D val="0"/>
            <c:spPr>
              <a:solidFill>
                <a:srgbClr val="0070C0"/>
              </a:solidFill>
              <a:ln>
                <a:noFill/>
              </a:ln>
              <a:effectLst/>
            </c:spPr>
            <c:extLst>
              <c:ext xmlns:c16="http://schemas.microsoft.com/office/drawing/2014/chart" uri="{C3380CC4-5D6E-409C-BE32-E72D297353CC}">
                <c16:uniqueId val="{00000013-FB63-4B88-A113-7171D172DA97}"/>
              </c:ext>
            </c:extLst>
          </c:dPt>
          <c:dPt>
            <c:idx val="21"/>
            <c:invertIfNegative val="0"/>
            <c:bubble3D val="0"/>
            <c:spPr>
              <a:solidFill>
                <a:srgbClr val="FF0000"/>
              </a:solidFill>
              <a:ln>
                <a:noFill/>
              </a:ln>
              <a:effectLst/>
            </c:spPr>
            <c:extLst>
              <c:ext xmlns:c16="http://schemas.microsoft.com/office/drawing/2014/chart" uri="{C3380CC4-5D6E-409C-BE32-E72D297353CC}">
                <c16:uniqueId val="{00000015-FB63-4B88-A113-7171D172DA97}"/>
              </c:ext>
            </c:extLst>
          </c:dPt>
          <c:dPt>
            <c:idx val="22"/>
            <c:invertIfNegative val="0"/>
            <c:bubble3D val="0"/>
            <c:spPr>
              <a:solidFill>
                <a:srgbClr val="0070C0"/>
              </a:solidFill>
              <a:ln>
                <a:noFill/>
              </a:ln>
              <a:effectLst/>
            </c:spPr>
            <c:extLst>
              <c:ext xmlns:c16="http://schemas.microsoft.com/office/drawing/2014/chart" uri="{C3380CC4-5D6E-409C-BE32-E72D297353CC}">
                <c16:uniqueId val="{00000017-FB63-4B88-A113-7171D172DA97}"/>
              </c:ext>
            </c:extLst>
          </c:dPt>
          <c:dPt>
            <c:idx val="25"/>
            <c:invertIfNegative val="0"/>
            <c:bubble3D val="0"/>
            <c:spPr>
              <a:solidFill>
                <a:srgbClr val="FF0000"/>
              </a:solidFill>
              <a:ln>
                <a:noFill/>
              </a:ln>
              <a:effectLst/>
            </c:spPr>
            <c:extLst>
              <c:ext xmlns:c16="http://schemas.microsoft.com/office/drawing/2014/chart" uri="{C3380CC4-5D6E-409C-BE32-E72D297353CC}">
                <c16:uniqueId val="{00000019-FB63-4B88-A113-7171D172DA97}"/>
              </c:ext>
            </c:extLst>
          </c:dPt>
          <c:dPt>
            <c:idx val="26"/>
            <c:invertIfNegative val="0"/>
            <c:bubble3D val="0"/>
            <c:spPr>
              <a:solidFill>
                <a:srgbClr val="0070C0"/>
              </a:solidFill>
              <a:ln>
                <a:noFill/>
              </a:ln>
              <a:effectLst/>
            </c:spPr>
            <c:extLst>
              <c:ext xmlns:c16="http://schemas.microsoft.com/office/drawing/2014/chart" uri="{C3380CC4-5D6E-409C-BE32-E72D297353CC}">
                <c16:uniqueId val="{0000001B-FB63-4B88-A113-7171D172DA97}"/>
              </c:ext>
            </c:extLst>
          </c:dPt>
          <c:dPt>
            <c:idx val="29"/>
            <c:invertIfNegative val="0"/>
            <c:bubble3D val="0"/>
            <c:spPr>
              <a:solidFill>
                <a:srgbClr val="FF0000"/>
              </a:solidFill>
              <a:ln>
                <a:noFill/>
              </a:ln>
              <a:effectLst/>
            </c:spPr>
            <c:extLst>
              <c:ext xmlns:c16="http://schemas.microsoft.com/office/drawing/2014/chart" uri="{C3380CC4-5D6E-409C-BE32-E72D297353CC}">
                <c16:uniqueId val="{0000001D-FB63-4B88-A113-7171D172DA97}"/>
              </c:ext>
            </c:extLst>
          </c:dPt>
          <c:dPt>
            <c:idx val="30"/>
            <c:invertIfNegative val="0"/>
            <c:bubble3D val="0"/>
            <c:spPr>
              <a:solidFill>
                <a:srgbClr val="0070C0"/>
              </a:solidFill>
              <a:ln>
                <a:noFill/>
              </a:ln>
              <a:effectLst/>
            </c:spPr>
            <c:extLst>
              <c:ext xmlns:c16="http://schemas.microsoft.com/office/drawing/2014/chart" uri="{C3380CC4-5D6E-409C-BE32-E72D297353CC}">
                <c16:uniqueId val="{0000001F-FB63-4B88-A113-7171D172DA97}"/>
              </c:ext>
            </c:extLst>
          </c:dPt>
          <c:dPt>
            <c:idx val="33"/>
            <c:invertIfNegative val="0"/>
            <c:bubble3D val="0"/>
            <c:spPr>
              <a:solidFill>
                <a:srgbClr val="FF0000"/>
              </a:solidFill>
              <a:ln>
                <a:noFill/>
              </a:ln>
              <a:effectLst/>
            </c:spPr>
            <c:extLst>
              <c:ext xmlns:c16="http://schemas.microsoft.com/office/drawing/2014/chart" uri="{C3380CC4-5D6E-409C-BE32-E72D297353CC}">
                <c16:uniqueId val="{00000021-FB63-4B88-A113-7171D172DA97}"/>
              </c:ext>
            </c:extLst>
          </c:dPt>
          <c:dPt>
            <c:idx val="34"/>
            <c:invertIfNegative val="0"/>
            <c:bubble3D val="0"/>
            <c:spPr>
              <a:solidFill>
                <a:srgbClr val="0070C0"/>
              </a:solidFill>
              <a:ln>
                <a:noFill/>
              </a:ln>
              <a:effectLst/>
            </c:spPr>
            <c:extLst>
              <c:ext xmlns:c16="http://schemas.microsoft.com/office/drawing/2014/chart" uri="{C3380CC4-5D6E-409C-BE32-E72D297353CC}">
                <c16:uniqueId val="{00000023-FB63-4B88-A113-7171D172DA97}"/>
              </c:ext>
            </c:extLst>
          </c:dPt>
          <c:dPt>
            <c:idx val="37"/>
            <c:invertIfNegative val="0"/>
            <c:bubble3D val="0"/>
            <c:spPr>
              <a:solidFill>
                <a:srgbClr val="FF0000"/>
              </a:solidFill>
              <a:ln>
                <a:noFill/>
              </a:ln>
              <a:effectLst/>
            </c:spPr>
            <c:extLst>
              <c:ext xmlns:c16="http://schemas.microsoft.com/office/drawing/2014/chart" uri="{C3380CC4-5D6E-409C-BE32-E72D297353CC}">
                <c16:uniqueId val="{00000025-FB63-4B88-A113-7171D172DA97}"/>
              </c:ext>
            </c:extLst>
          </c:dPt>
          <c:dPt>
            <c:idx val="38"/>
            <c:invertIfNegative val="0"/>
            <c:bubble3D val="0"/>
            <c:spPr>
              <a:solidFill>
                <a:srgbClr val="0070C0"/>
              </a:solidFill>
              <a:ln>
                <a:noFill/>
              </a:ln>
              <a:effectLst/>
            </c:spPr>
            <c:extLst>
              <c:ext xmlns:c16="http://schemas.microsoft.com/office/drawing/2014/chart" uri="{C3380CC4-5D6E-409C-BE32-E72D297353CC}">
                <c16:uniqueId val="{00000027-FB63-4B88-A113-7171D172DA97}"/>
              </c:ext>
            </c:extLst>
          </c:dPt>
          <c:dPt>
            <c:idx val="41"/>
            <c:invertIfNegative val="0"/>
            <c:bubble3D val="0"/>
            <c:spPr>
              <a:solidFill>
                <a:srgbClr val="FF0000"/>
              </a:solidFill>
              <a:ln>
                <a:noFill/>
              </a:ln>
              <a:effectLst/>
            </c:spPr>
            <c:extLst>
              <c:ext xmlns:c16="http://schemas.microsoft.com/office/drawing/2014/chart" uri="{C3380CC4-5D6E-409C-BE32-E72D297353CC}">
                <c16:uniqueId val="{00000029-FB63-4B88-A113-7171D172DA97}"/>
              </c:ext>
            </c:extLst>
          </c:dPt>
          <c:dPt>
            <c:idx val="42"/>
            <c:invertIfNegative val="0"/>
            <c:bubble3D val="0"/>
            <c:spPr>
              <a:solidFill>
                <a:srgbClr val="0070C0"/>
              </a:solidFill>
              <a:ln>
                <a:noFill/>
              </a:ln>
              <a:effectLst/>
            </c:spPr>
            <c:extLst>
              <c:ext xmlns:c16="http://schemas.microsoft.com/office/drawing/2014/chart" uri="{C3380CC4-5D6E-409C-BE32-E72D297353CC}">
                <c16:uniqueId val="{0000002B-FB63-4B88-A113-7171D172DA97}"/>
              </c:ext>
            </c:extLst>
          </c:dPt>
          <c:dPt>
            <c:idx val="45"/>
            <c:invertIfNegative val="0"/>
            <c:bubble3D val="0"/>
            <c:spPr>
              <a:solidFill>
                <a:srgbClr val="FF0000"/>
              </a:solidFill>
              <a:ln>
                <a:noFill/>
              </a:ln>
              <a:effectLst/>
            </c:spPr>
            <c:extLst>
              <c:ext xmlns:c16="http://schemas.microsoft.com/office/drawing/2014/chart" uri="{C3380CC4-5D6E-409C-BE32-E72D297353CC}">
                <c16:uniqueId val="{0000002D-FB63-4B88-A113-7171D172DA97}"/>
              </c:ext>
            </c:extLst>
          </c:dPt>
          <c:dPt>
            <c:idx val="46"/>
            <c:invertIfNegative val="0"/>
            <c:bubble3D val="0"/>
            <c:spPr>
              <a:solidFill>
                <a:srgbClr val="0070C0"/>
              </a:solidFill>
              <a:ln>
                <a:noFill/>
              </a:ln>
              <a:effectLst/>
            </c:spPr>
            <c:extLst>
              <c:ext xmlns:c16="http://schemas.microsoft.com/office/drawing/2014/chart" uri="{C3380CC4-5D6E-409C-BE32-E72D297353CC}">
                <c16:uniqueId val="{0000002F-FB63-4B88-A113-7171D172DA97}"/>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Calculations!$M$55:$M$102</c:f>
              <c:numCache>
                <c:formatCode>_ * #,##0_ ;_ * \-#,##0_ ;_ * "-"??_ ;_ @_ </c:formatCode>
                <c:ptCount val="48"/>
                <c:pt idx="0">
                  <c:v>0</c:v>
                </c:pt>
                <c:pt idx="1">
                  <c:v>0</c:v>
                </c:pt>
                <c:pt idx="2">
                  <c:v>0</c:v>
                </c:pt>
                <c:pt idx="4">
                  <c:v>4050</c:v>
                </c:pt>
                <c:pt idx="5">
                  <c:v>2900</c:v>
                </c:pt>
                <c:pt idx="6">
                  <c:v>1040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30-FB63-4B88-A113-7171D172DA97}"/>
            </c:ext>
          </c:extLst>
        </c:ser>
        <c:ser>
          <c:idx val="1"/>
          <c:order val="1"/>
          <c:spPr>
            <a:solidFill>
              <a:srgbClr val="61FFA8"/>
            </a:solidFill>
            <a:ln>
              <a:noFill/>
            </a:ln>
            <a:effectLst/>
          </c:spPr>
          <c:invertIfNegative val="0"/>
          <c:dPt>
            <c:idx val="1"/>
            <c:invertIfNegative val="0"/>
            <c:bubble3D val="0"/>
            <c:spPr>
              <a:solidFill>
                <a:srgbClr val="FF7171"/>
              </a:solidFill>
              <a:ln>
                <a:noFill/>
              </a:ln>
              <a:effectLst/>
            </c:spPr>
            <c:extLst>
              <c:ext xmlns:c16="http://schemas.microsoft.com/office/drawing/2014/chart" uri="{C3380CC4-5D6E-409C-BE32-E72D297353CC}">
                <c16:uniqueId val="{00000032-FB63-4B88-A113-7171D172DA97}"/>
              </c:ext>
            </c:extLst>
          </c:dPt>
          <c:dPt>
            <c:idx val="2"/>
            <c:invertIfNegative val="0"/>
            <c:bubble3D val="0"/>
            <c:spPr>
              <a:solidFill>
                <a:srgbClr val="65BDFF"/>
              </a:solidFill>
              <a:ln>
                <a:noFill/>
              </a:ln>
              <a:effectLst/>
            </c:spPr>
            <c:extLst>
              <c:ext xmlns:c16="http://schemas.microsoft.com/office/drawing/2014/chart" uri="{C3380CC4-5D6E-409C-BE32-E72D297353CC}">
                <c16:uniqueId val="{00000034-FB63-4B88-A113-7171D172DA97}"/>
              </c:ext>
            </c:extLst>
          </c:dPt>
          <c:dPt>
            <c:idx val="5"/>
            <c:invertIfNegative val="0"/>
            <c:bubble3D val="0"/>
            <c:spPr>
              <a:solidFill>
                <a:srgbClr val="FF7171"/>
              </a:solidFill>
              <a:ln>
                <a:noFill/>
              </a:ln>
              <a:effectLst/>
            </c:spPr>
            <c:extLst>
              <c:ext xmlns:c16="http://schemas.microsoft.com/office/drawing/2014/chart" uri="{C3380CC4-5D6E-409C-BE32-E72D297353CC}">
                <c16:uniqueId val="{00000036-FB63-4B88-A113-7171D172DA97}"/>
              </c:ext>
            </c:extLst>
          </c:dPt>
          <c:dPt>
            <c:idx val="6"/>
            <c:invertIfNegative val="0"/>
            <c:bubble3D val="0"/>
            <c:spPr>
              <a:solidFill>
                <a:srgbClr val="65BDFF"/>
              </a:solidFill>
              <a:ln>
                <a:noFill/>
              </a:ln>
              <a:effectLst/>
            </c:spPr>
            <c:extLst>
              <c:ext xmlns:c16="http://schemas.microsoft.com/office/drawing/2014/chart" uri="{C3380CC4-5D6E-409C-BE32-E72D297353CC}">
                <c16:uniqueId val="{00000038-FB63-4B88-A113-7171D172DA97}"/>
              </c:ext>
            </c:extLst>
          </c:dPt>
          <c:dPt>
            <c:idx val="9"/>
            <c:invertIfNegative val="0"/>
            <c:bubble3D val="0"/>
            <c:spPr>
              <a:solidFill>
                <a:srgbClr val="FF7171"/>
              </a:solidFill>
              <a:ln>
                <a:noFill/>
              </a:ln>
              <a:effectLst/>
            </c:spPr>
            <c:extLst>
              <c:ext xmlns:c16="http://schemas.microsoft.com/office/drawing/2014/chart" uri="{C3380CC4-5D6E-409C-BE32-E72D297353CC}">
                <c16:uniqueId val="{0000003A-FB63-4B88-A113-7171D172DA97}"/>
              </c:ext>
            </c:extLst>
          </c:dPt>
          <c:dPt>
            <c:idx val="10"/>
            <c:invertIfNegative val="0"/>
            <c:bubble3D val="0"/>
            <c:spPr>
              <a:solidFill>
                <a:srgbClr val="65BDFF"/>
              </a:solidFill>
              <a:ln>
                <a:noFill/>
              </a:ln>
              <a:effectLst/>
            </c:spPr>
            <c:extLst>
              <c:ext xmlns:c16="http://schemas.microsoft.com/office/drawing/2014/chart" uri="{C3380CC4-5D6E-409C-BE32-E72D297353CC}">
                <c16:uniqueId val="{0000003C-FB63-4B88-A113-7171D172DA97}"/>
              </c:ext>
            </c:extLst>
          </c:dPt>
          <c:dPt>
            <c:idx val="13"/>
            <c:invertIfNegative val="0"/>
            <c:bubble3D val="0"/>
            <c:spPr>
              <a:solidFill>
                <a:srgbClr val="FF7171"/>
              </a:solidFill>
              <a:ln>
                <a:noFill/>
              </a:ln>
              <a:effectLst/>
            </c:spPr>
            <c:extLst>
              <c:ext xmlns:c16="http://schemas.microsoft.com/office/drawing/2014/chart" uri="{C3380CC4-5D6E-409C-BE32-E72D297353CC}">
                <c16:uniqueId val="{0000003E-FB63-4B88-A113-7171D172DA97}"/>
              </c:ext>
            </c:extLst>
          </c:dPt>
          <c:dPt>
            <c:idx val="14"/>
            <c:invertIfNegative val="0"/>
            <c:bubble3D val="0"/>
            <c:spPr>
              <a:solidFill>
                <a:srgbClr val="65BDFF"/>
              </a:solidFill>
              <a:ln>
                <a:noFill/>
              </a:ln>
              <a:effectLst/>
            </c:spPr>
            <c:extLst>
              <c:ext xmlns:c16="http://schemas.microsoft.com/office/drawing/2014/chart" uri="{C3380CC4-5D6E-409C-BE32-E72D297353CC}">
                <c16:uniqueId val="{00000040-FB63-4B88-A113-7171D172DA97}"/>
              </c:ext>
            </c:extLst>
          </c:dPt>
          <c:dPt>
            <c:idx val="17"/>
            <c:invertIfNegative val="0"/>
            <c:bubble3D val="0"/>
            <c:spPr>
              <a:solidFill>
                <a:srgbClr val="FF7171"/>
              </a:solidFill>
              <a:ln>
                <a:noFill/>
              </a:ln>
              <a:effectLst/>
            </c:spPr>
            <c:extLst>
              <c:ext xmlns:c16="http://schemas.microsoft.com/office/drawing/2014/chart" uri="{C3380CC4-5D6E-409C-BE32-E72D297353CC}">
                <c16:uniqueId val="{00000042-FB63-4B88-A113-7171D172DA97}"/>
              </c:ext>
            </c:extLst>
          </c:dPt>
          <c:dPt>
            <c:idx val="18"/>
            <c:invertIfNegative val="0"/>
            <c:bubble3D val="0"/>
            <c:spPr>
              <a:solidFill>
                <a:srgbClr val="65BDFF"/>
              </a:solidFill>
              <a:ln>
                <a:noFill/>
              </a:ln>
              <a:effectLst/>
            </c:spPr>
            <c:extLst>
              <c:ext xmlns:c16="http://schemas.microsoft.com/office/drawing/2014/chart" uri="{C3380CC4-5D6E-409C-BE32-E72D297353CC}">
                <c16:uniqueId val="{00000044-FB63-4B88-A113-7171D172DA97}"/>
              </c:ext>
            </c:extLst>
          </c:dPt>
          <c:dPt>
            <c:idx val="21"/>
            <c:invertIfNegative val="0"/>
            <c:bubble3D val="0"/>
            <c:spPr>
              <a:solidFill>
                <a:srgbClr val="FF7171"/>
              </a:solidFill>
              <a:ln>
                <a:noFill/>
              </a:ln>
              <a:effectLst/>
            </c:spPr>
            <c:extLst>
              <c:ext xmlns:c16="http://schemas.microsoft.com/office/drawing/2014/chart" uri="{C3380CC4-5D6E-409C-BE32-E72D297353CC}">
                <c16:uniqueId val="{00000046-FB63-4B88-A113-7171D172DA97}"/>
              </c:ext>
            </c:extLst>
          </c:dPt>
          <c:dPt>
            <c:idx val="22"/>
            <c:invertIfNegative val="0"/>
            <c:bubble3D val="0"/>
            <c:spPr>
              <a:solidFill>
                <a:srgbClr val="65BDFF"/>
              </a:solidFill>
              <a:ln>
                <a:noFill/>
              </a:ln>
              <a:effectLst/>
            </c:spPr>
            <c:extLst>
              <c:ext xmlns:c16="http://schemas.microsoft.com/office/drawing/2014/chart" uri="{C3380CC4-5D6E-409C-BE32-E72D297353CC}">
                <c16:uniqueId val="{00000048-FB63-4B88-A113-7171D172DA97}"/>
              </c:ext>
            </c:extLst>
          </c:dPt>
          <c:dPt>
            <c:idx val="25"/>
            <c:invertIfNegative val="0"/>
            <c:bubble3D val="0"/>
            <c:spPr>
              <a:solidFill>
                <a:srgbClr val="FF7171"/>
              </a:solidFill>
              <a:ln>
                <a:noFill/>
              </a:ln>
              <a:effectLst/>
            </c:spPr>
            <c:extLst>
              <c:ext xmlns:c16="http://schemas.microsoft.com/office/drawing/2014/chart" uri="{C3380CC4-5D6E-409C-BE32-E72D297353CC}">
                <c16:uniqueId val="{0000004A-FB63-4B88-A113-7171D172DA97}"/>
              </c:ext>
            </c:extLst>
          </c:dPt>
          <c:dPt>
            <c:idx val="26"/>
            <c:invertIfNegative val="0"/>
            <c:bubble3D val="0"/>
            <c:spPr>
              <a:solidFill>
                <a:srgbClr val="65BDFF"/>
              </a:solidFill>
              <a:ln>
                <a:noFill/>
              </a:ln>
              <a:effectLst/>
            </c:spPr>
            <c:extLst>
              <c:ext xmlns:c16="http://schemas.microsoft.com/office/drawing/2014/chart" uri="{C3380CC4-5D6E-409C-BE32-E72D297353CC}">
                <c16:uniqueId val="{0000004C-FB63-4B88-A113-7171D172DA97}"/>
              </c:ext>
            </c:extLst>
          </c:dPt>
          <c:dPt>
            <c:idx val="29"/>
            <c:invertIfNegative val="0"/>
            <c:bubble3D val="0"/>
            <c:spPr>
              <a:solidFill>
                <a:srgbClr val="FF7171"/>
              </a:solidFill>
              <a:ln>
                <a:noFill/>
              </a:ln>
              <a:effectLst/>
            </c:spPr>
            <c:extLst>
              <c:ext xmlns:c16="http://schemas.microsoft.com/office/drawing/2014/chart" uri="{C3380CC4-5D6E-409C-BE32-E72D297353CC}">
                <c16:uniqueId val="{0000004E-FB63-4B88-A113-7171D172DA97}"/>
              </c:ext>
            </c:extLst>
          </c:dPt>
          <c:dPt>
            <c:idx val="30"/>
            <c:invertIfNegative val="0"/>
            <c:bubble3D val="0"/>
            <c:spPr>
              <a:solidFill>
                <a:srgbClr val="65BDFF"/>
              </a:solidFill>
              <a:ln>
                <a:noFill/>
              </a:ln>
              <a:effectLst/>
            </c:spPr>
            <c:extLst>
              <c:ext xmlns:c16="http://schemas.microsoft.com/office/drawing/2014/chart" uri="{C3380CC4-5D6E-409C-BE32-E72D297353CC}">
                <c16:uniqueId val="{00000050-FB63-4B88-A113-7171D172DA97}"/>
              </c:ext>
            </c:extLst>
          </c:dPt>
          <c:dPt>
            <c:idx val="33"/>
            <c:invertIfNegative val="0"/>
            <c:bubble3D val="0"/>
            <c:spPr>
              <a:solidFill>
                <a:srgbClr val="FF7171"/>
              </a:solidFill>
              <a:ln>
                <a:noFill/>
              </a:ln>
              <a:effectLst/>
            </c:spPr>
            <c:extLst>
              <c:ext xmlns:c16="http://schemas.microsoft.com/office/drawing/2014/chart" uri="{C3380CC4-5D6E-409C-BE32-E72D297353CC}">
                <c16:uniqueId val="{00000052-FB63-4B88-A113-7171D172DA97}"/>
              </c:ext>
            </c:extLst>
          </c:dPt>
          <c:dPt>
            <c:idx val="34"/>
            <c:invertIfNegative val="0"/>
            <c:bubble3D val="0"/>
            <c:spPr>
              <a:solidFill>
                <a:srgbClr val="65BDFF"/>
              </a:solidFill>
              <a:ln>
                <a:noFill/>
              </a:ln>
              <a:effectLst/>
            </c:spPr>
            <c:extLst>
              <c:ext xmlns:c16="http://schemas.microsoft.com/office/drawing/2014/chart" uri="{C3380CC4-5D6E-409C-BE32-E72D297353CC}">
                <c16:uniqueId val="{00000054-FB63-4B88-A113-7171D172DA97}"/>
              </c:ext>
            </c:extLst>
          </c:dPt>
          <c:dPt>
            <c:idx val="37"/>
            <c:invertIfNegative val="0"/>
            <c:bubble3D val="0"/>
            <c:spPr>
              <a:solidFill>
                <a:srgbClr val="FF7171"/>
              </a:solidFill>
              <a:ln>
                <a:noFill/>
              </a:ln>
              <a:effectLst/>
            </c:spPr>
            <c:extLst>
              <c:ext xmlns:c16="http://schemas.microsoft.com/office/drawing/2014/chart" uri="{C3380CC4-5D6E-409C-BE32-E72D297353CC}">
                <c16:uniqueId val="{00000056-FB63-4B88-A113-7171D172DA97}"/>
              </c:ext>
            </c:extLst>
          </c:dPt>
          <c:dPt>
            <c:idx val="38"/>
            <c:invertIfNegative val="0"/>
            <c:bubble3D val="0"/>
            <c:spPr>
              <a:solidFill>
                <a:srgbClr val="65BDFF"/>
              </a:solidFill>
              <a:ln>
                <a:noFill/>
              </a:ln>
              <a:effectLst/>
            </c:spPr>
            <c:extLst>
              <c:ext xmlns:c16="http://schemas.microsoft.com/office/drawing/2014/chart" uri="{C3380CC4-5D6E-409C-BE32-E72D297353CC}">
                <c16:uniqueId val="{00000058-FB63-4B88-A113-7171D172DA97}"/>
              </c:ext>
            </c:extLst>
          </c:dPt>
          <c:dPt>
            <c:idx val="41"/>
            <c:invertIfNegative val="0"/>
            <c:bubble3D val="0"/>
            <c:spPr>
              <a:solidFill>
                <a:srgbClr val="FF7171"/>
              </a:solidFill>
              <a:ln>
                <a:noFill/>
              </a:ln>
              <a:effectLst/>
            </c:spPr>
            <c:extLst>
              <c:ext xmlns:c16="http://schemas.microsoft.com/office/drawing/2014/chart" uri="{C3380CC4-5D6E-409C-BE32-E72D297353CC}">
                <c16:uniqueId val="{0000005A-FB63-4B88-A113-7171D172DA97}"/>
              </c:ext>
            </c:extLst>
          </c:dPt>
          <c:dPt>
            <c:idx val="42"/>
            <c:invertIfNegative val="0"/>
            <c:bubble3D val="0"/>
            <c:spPr>
              <a:solidFill>
                <a:srgbClr val="65BDFF"/>
              </a:solidFill>
              <a:ln>
                <a:noFill/>
              </a:ln>
              <a:effectLst/>
            </c:spPr>
            <c:extLst>
              <c:ext xmlns:c16="http://schemas.microsoft.com/office/drawing/2014/chart" uri="{C3380CC4-5D6E-409C-BE32-E72D297353CC}">
                <c16:uniqueId val="{0000005C-FB63-4B88-A113-7171D172DA97}"/>
              </c:ext>
            </c:extLst>
          </c:dPt>
          <c:dPt>
            <c:idx val="45"/>
            <c:invertIfNegative val="0"/>
            <c:bubble3D val="0"/>
            <c:spPr>
              <a:solidFill>
                <a:srgbClr val="FF7171"/>
              </a:solidFill>
              <a:ln>
                <a:noFill/>
              </a:ln>
              <a:effectLst/>
            </c:spPr>
            <c:extLst>
              <c:ext xmlns:c16="http://schemas.microsoft.com/office/drawing/2014/chart" uri="{C3380CC4-5D6E-409C-BE32-E72D297353CC}">
                <c16:uniqueId val="{0000005E-FB63-4B88-A113-7171D172DA97}"/>
              </c:ext>
            </c:extLst>
          </c:dPt>
          <c:dPt>
            <c:idx val="46"/>
            <c:invertIfNegative val="0"/>
            <c:bubble3D val="0"/>
            <c:spPr>
              <a:solidFill>
                <a:srgbClr val="65BDFF"/>
              </a:solidFill>
              <a:ln>
                <a:noFill/>
              </a:ln>
              <a:effectLst/>
            </c:spPr>
            <c:extLst>
              <c:ext xmlns:c16="http://schemas.microsoft.com/office/drawing/2014/chart" uri="{C3380CC4-5D6E-409C-BE32-E72D297353CC}">
                <c16:uniqueId val="{00000060-FB63-4B88-A113-7171D172DA97}"/>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Calculations!$N$55:$N$102</c:f>
              <c:numCache>
                <c:formatCode>_ * #,##0_ ;_ * \-#,##0_ ;_ * "-"??_ ;_ @_ </c:formatCode>
                <c:ptCount val="48"/>
                <c:pt idx="0">
                  <c:v>0</c:v>
                </c:pt>
                <c:pt idx="1">
                  <c:v>0</c:v>
                </c:pt>
                <c:pt idx="2">
                  <c:v>0</c:v>
                </c:pt>
                <c:pt idx="4">
                  <c:v>500</c:v>
                </c:pt>
                <c:pt idx="5">
                  <c:v>0</c:v>
                </c:pt>
                <c:pt idx="6">
                  <c:v>610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61-FB63-4B88-A113-7171D172DA97}"/>
            </c:ext>
          </c:extLst>
        </c:ser>
        <c:ser>
          <c:idx val="2"/>
          <c:order val="2"/>
          <c:spPr>
            <a:solidFill>
              <a:srgbClr val="00AC4E"/>
            </a:solidFill>
            <a:ln>
              <a:noFill/>
            </a:ln>
            <a:effectLst/>
          </c:spPr>
          <c:invertIfNegative val="0"/>
          <c:dPt>
            <c:idx val="1"/>
            <c:invertIfNegative val="0"/>
            <c:bubble3D val="0"/>
            <c:spPr>
              <a:solidFill>
                <a:srgbClr val="B00000"/>
              </a:solidFill>
              <a:ln>
                <a:noFill/>
              </a:ln>
              <a:effectLst/>
            </c:spPr>
            <c:extLst>
              <c:ext xmlns:c16="http://schemas.microsoft.com/office/drawing/2014/chart" uri="{C3380CC4-5D6E-409C-BE32-E72D297353CC}">
                <c16:uniqueId val="{00000063-FB63-4B88-A113-7171D172DA97}"/>
              </c:ext>
            </c:extLst>
          </c:dPt>
          <c:dPt>
            <c:idx val="2"/>
            <c:invertIfNegative val="0"/>
            <c:bubble3D val="0"/>
            <c:spPr>
              <a:solidFill>
                <a:srgbClr val="004A82"/>
              </a:solidFill>
              <a:ln>
                <a:noFill/>
              </a:ln>
              <a:effectLst/>
            </c:spPr>
            <c:extLst>
              <c:ext xmlns:c16="http://schemas.microsoft.com/office/drawing/2014/chart" uri="{C3380CC4-5D6E-409C-BE32-E72D297353CC}">
                <c16:uniqueId val="{00000065-FB63-4B88-A113-7171D172DA97}"/>
              </c:ext>
            </c:extLst>
          </c:dPt>
          <c:dPt>
            <c:idx val="5"/>
            <c:invertIfNegative val="0"/>
            <c:bubble3D val="0"/>
            <c:spPr>
              <a:solidFill>
                <a:srgbClr val="B00000"/>
              </a:solidFill>
              <a:ln>
                <a:noFill/>
              </a:ln>
              <a:effectLst/>
            </c:spPr>
            <c:extLst>
              <c:ext xmlns:c16="http://schemas.microsoft.com/office/drawing/2014/chart" uri="{C3380CC4-5D6E-409C-BE32-E72D297353CC}">
                <c16:uniqueId val="{00000067-FB63-4B88-A113-7171D172DA97}"/>
              </c:ext>
            </c:extLst>
          </c:dPt>
          <c:dPt>
            <c:idx val="6"/>
            <c:invertIfNegative val="0"/>
            <c:bubble3D val="0"/>
            <c:spPr>
              <a:solidFill>
                <a:srgbClr val="004A82"/>
              </a:solidFill>
              <a:ln>
                <a:noFill/>
              </a:ln>
              <a:effectLst/>
            </c:spPr>
            <c:extLst>
              <c:ext xmlns:c16="http://schemas.microsoft.com/office/drawing/2014/chart" uri="{C3380CC4-5D6E-409C-BE32-E72D297353CC}">
                <c16:uniqueId val="{00000069-FB63-4B88-A113-7171D172DA97}"/>
              </c:ext>
            </c:extLst>
          </c:dPt>
          <c:dPt>
            <c:idx val="9"/>
            <c:invertIfNegative val="0"/>
            <c:bubble3D val="0"/>
            <c:spPr>
              <a:solidFill>
                <a:srgbClr val="B00000"/>
              </a:solidFill>
              <a:ln>
                <a:noFill/>
              </a:ln>
              <a:effectLst/>
            </c:spPr>
            <c:extLst>
              <c:ext xmlns:c16="http://schemas.microsoft.com/office/drawing/2014/chart" uri="{C3380CC4-5D6E-409C-BE32-E72D297353CC}">
                <c16:uniqueId val="{0000006B-FB63-4B88-A113-7171D172DA97}"/>
              </c:ext>
            </c:extLst>
          </c:dPt>
          <c:dPt>
            <c:idx val="10"/>
            <c:invertIfNegative val="0"/>
            <c:bubble3D val="0"/>
            <c:spPr>
              <a:solidFill>
                <a:srgbClr val="004A82"/>
              </a:solidFill>
              <a:ln>
                <a:noFill/>
              </a:ln>
              <a:effectLst/>
            </c:spPr>
            <c:extLst>
              <c:ext xmlns:c16="http://schemas.microsoft.com/office/drawing/2014/chart" uri="{C3380CC4-5D6E-409C-BE32-E72D297353CC}">
                <c16:uniqueId val="{0000006D-FB63-4B88-A113-7171D172DA97}"/>
              </c:ext>
            </c:extLst>
          </c:dPt>
          <c:dPt>
            <c:idx val="13"/>
            <c:invertIfNegative val="0"/>
            <c:bubble3D val="0"/>
            <c:spPr>
              <a:solidFill>
                <a:srgbClr val="B00000"/>
              </a:solidFill>
              <a:ln>
                <a:noFill/>
              </a:ln>
              <a:effectLst/>
            </c:spPr>
            <c:extLst>
              <c:ext xmlns:c16="http://schemas.microsoft.com/office/drawing/2014/chart" uri="{C3380CC4-5D6E-409C-BE32-E72D297353CC}">
                <c16:uniqueId val="{0000006F-FB63-4B88-A113-7171D172DA97}"/>
              </c:ext>
            </c:extLst>
          </c:dPt>
          <c:dPt>
            <c:idx val="14"/>
            <c:invertIfNegative val="0"/>
            <c:bubble3D val="0"/>
            <c:spPr>
              <a:solidFill>
                <a:srgbClr val="004A82"/>
              </a:solidFill>
              <a:ln>
                <a:noFill/>
              </a:ln>
              <a:effectLst/>
            </c:spPr>
            <c:extLst>
              <c:ext xmlns:c16="http://schemas.microsoft.com/office/drawing/2014/chart" uri="{C3380CC4-5D6E-409C-BE32-E72D297353CC}">
                <c16:uniqueId val="{00000071-FB63-4B88-A113-7171D172DA97}"/>
              </c:ext>
            </c:extLst>
          </c:dPt>
          <c:dPt>
            <c:idx val="17"/>
            <c:invertIfNegative val="0"/>
            <c:bubble3D val="0"/>
            <c:spPr>
              <a:solidFill>
                <a:srgbClr val="B00000"/>
              </a:solidFill>
              <a:ln>
                <a:noFill/>
              </a:ln>
              <a:effectLst/>
            </c:spPr>
            <c:extLst>
              <c:ext xmlns:c16="http://schemas.microsoft.com/office/drawing/2014/chart" uri="{C3380CC4-5D6E-409C-BE32-E72D297353CC}">
                <c16:uniqueId val="{00000073-FB63-4B88-A113-7171D172DA97}"/>
              </c:ext>
            </c:extLst>
          </c:dPt>
          <c:dPt>
            <c:idx val="18"/>
            <c:invertIfNegative val="0"/>
            <c:bubble3D val="0"/>
            <c:spPr>
              <a:solidFill>
                <a:srgbClr val="004A82"/>
              </a:solidFill>
              <a:ln>
                <a:noFill/>
              </a:ln>
              <a:effectLst/>
            </c:spPr>
            <c:extLst>
              <c:ext xmlns:c16="http://schemas.microsoft.com/office/drawing/2014/chart" uri="{C3380CC4-5D6E-409C-BE32-E72D297353CC}">
                <c16:uniqueId val="{00000075-FB63-4B88-A113-7171D172DA97}"/>
              </c:ext>
            </c:extLst>
          </c:dPt>
          <c:dPt>
            <c:idx val="21"/>
            <c:invertIfNegative val="0"/>
            <c:bubble3D val="0"/>
            <c:spPr>
              <a:solidFill>
                <a:srgbClr val="B00000"/>
              </a:solidFill>
              <a:ln>
                <a:noFill/>
              </a:ln>
              <a:effectLst/>
            </c:spPr>
            <c:extLst>
              <c:ext xmlns:c16="http://schemas.microsoft.com/office/drawing/2014/chart" uri="{C3380CC4-5D6E-409C-BE32-E72D297353CC}">
                <c16:uniqueId val="{00000077-FB63-4B88-A113-7171D172DA97}"/>
              </c:ext>
            </c:extLst>
          </c:dPt>
          <c:dPt>
            <c:idx val="22"/>
            <c:invertIfNegative val="0"/>
            <c:bubble3D val="0"/>
            <c:spPr>
              <a:solidFill>
                <a:srgbClr val="004A82"/>
              </a:solidFill>
              <a:ln>
                <a:noFill/>
              </a:ln>
              <a:effectLst/>
            </c:spPr>
            <c:extLst>
              <c:ext xmlns:c16="http://schemas.microsoft.com/office/drawing/2014/chart" uri="{C3380CC4-5D6E-409C-BE32-E72D297353CC}">
                <c16:uniqueId val="{00000079-FB63-4B88-A113-7171D172DA97}"/>
              </c:ext>
            </c:extLst>
          </c:dPt>
          <c:dPt>
            <c:idx val="25"/>
            <c:invertIfNegative val="0"/>
            <c:bubble3D val="0"/>
            <c:spPr>
              <a:solidFill>
                <a:srgbClr val="B00000"/>
              </a:solidFill>
              <a:ln>
                <a:noFill/>
              </a:ln>
              <a:effectLst/>
            </c:spPr>
            <c:extLst>
              <c:ext xmlns:c16="http://schemas.microsoft.com/office/drawing/2014/chart" uri="{C3380CC4-5D6E-409C-BE32-E72D297353CC}">
                <c16:uniqueId val="{0000007B-FB63-4B88-A113-7171D172DA97}"/>
              </c:ext>
            </c:extLst>
          </c:dPt>
          <c:dPt>
            <c:idx val="26"/>
            <c:invertIfNegative val="0"/>
            <c:bubble3D val="0"/>
            <c:spPr>
              <a:solidFill>
                <a:srgbClr val="004A82"/>
              </a:solidFill>
              <a:ln>
                <a:noFill/>
              </a:ln>
              <a:effectLst/>
            </c:spPr>
            <c:extLst>
              <c:ext xmlns:c16="http://schemas.microsoft.com/office/drawing/2014/chart" uri="{C3380CC4-5D6E-409C-BE32-E72D297353CC}">
                <c16:uniqueId val="{0000007D-FB63-4B88-A113-7171D172DA97}"/>
              </c:ext>
            </c:extLst>
          </c:dPt>
          <c:dPt>
            <c:idx val="29"/>
            <c:invertIfNegative val="0"/>
            <c:bubble3D val="0"/>
            <c:spPr>
              <a:solidFill>
                <a:srgbClr val="B00000"/>
              </a:solidFill>
              <a:ln>
                <a:noFill/>
              </a:ln>
              <a:effectLst/>
            </c:spPr>
            <c:extLst>
              <c:ext xmlns:c16="http://schemas.microsoft.com/office/drawing/2014/chart" uri="{C3380CC4-5D6E-409C-BE32-E72D297353CC}">
                <c16:uniqueId val="{0000007F-FB63-4B88-A113-7171D172DA97}"/>
              </c:ext>
            </c:extLst>
          </c:dPt>
          <c:dPt>
            <c:idx val="30"/>
            <c:invertIfNegative val="0"/>
            <c:bubble3D val="0"/>
            <c:spPr>
              <a:solidFill>
                <a:srgbClr val="004A82"/>
              </a:solidFill>
              <a:ln>
                <a:noFill/>
              </a:ln>
              <a:effectLst/>
            </c:spPr>
            <c:extLst>
              <c:ext xmlns:c16="http://schemas.microsoft.com/office/drawing/2014/chart" uri="{C3380CC4-5D6E-409C-BE32-E72D297353CC}">
                <c16:uniqueId val="{00000081-FB63-4B88-A113-7171D172DA97}"/>
              </c:ext>
            </c:extLst>
          </c:dPt>
          <c:dPt>
            <c:idx val="33"/>
            <c:invertIfNegative val="0"/>
            <c:bubble3D val="0"/>
            <c:spPr>
              <a:solidFill>
                <a:srgbClr val="B00000"/>
              </a:solidFill>
              <a:ln>
                <a:noFill/>
              </a:ln>
              <a:effectLst/>
            </c:spPr>
            <c:extLst>
              <c:ext xmlns:c16="http://schemas.microsoft.com/office/drawing/2014/chart" uri="{C3380CC4-5D6E-409C-BE32-E72D297353CC}">
                <c16:uniqueId val="{00000083-FB63-4B88-A113-7171D172DA97}"/>
              </c:ext>
            </c:extLst>
          </c:dPt>
          <c:dPt>
            <c:idx val="34"/>
            <c:invertIfNegative val="0"/>
            <c:bubble3D val="0"/>
            <c:spPr>
              <a:solidFill>
                <a:srgbClr val="004A82"/>
              </a:solidFill>
              <a:ln>
                <a:noFill/>
              </a:ln>
              <a:effectLst/>
            </c:spPr>
            <c:extLst>
              <c:ext xmlns:c16="http://schemas.microsoft.com/office/drawing/2014/chart" uri="{C3380CC4-5D6E-409C-BE32-E72D297353CC}">
                <c16:uniqueId val="{00000085-FB63-4B88-A113-7171D172DA97}"/>
              </c:ext>
            </c:extLst>
          </c:dPt>
          <c:dPt>
            <c:idx val="37"/>
            <c:invertIfNegative val="0"/>
            <c:bubble3D val="0"/>
            <c:spPr>
              <a:solidFill>
                <a:srgbClr val="B00000"/>
              </a:solidFill>
              <a:ln>
                <a:noFill/>
              </a:ln>
              <a:effectLst/>
            </c:spPr>
            <c:extLst>
              <c:ext xmlns:c16="http://schemas.microsoft.com/office/drawing/2014/chart" uri="{C3380CC4-5D6E-409C-BE32-E72D297353CC}">
                <c16:uniqueId val="{00000087-FB63-4B88-A113-7171D172DA97}"/>
              </c:ext>
            </c:extLst>
          </c:dPt>
          <c:dPt>
            <c:idx val="38"/>
            <c:invertIfNegative val="0"/>
            <c:bubble3D val="0"/>
            <c:spPr>
              <a:solidFill>
                <a:srgbClr val="004A82"/>
              </a:solidFill>
              <a:ln>
                <a:noFill/>
              </a:ln>
              <a:effectLst/>
            </c:spPr>
            <c:extLst>
              <c:ext xmlns:c16="http://schemas.microsoft.com/office/drawing/2014/chart" uri="{C3380CC4-5D6E-409C-BE32-E72D297353CC}">
                <c16:uniqueId val="{00000089-FB63-4B88-A113-7171D172DA97}"/>
              </c:ext>
            </c:extLst>
          </c:dPt>
          <c:dPt>
            <c:idx val="41"/>
            <c:invertIfNegative val="0"/>
            <c:bubble3D val="0"/>
            <c:spPr>
              <a:solidFill>
                <a:srgbClr val="B00000"/>
              </a:solidFill>
              <a:ln>
                <a:noFill/>
              </a:ln>
              <a:effectLst/>
            </c:spPr>
            <c:extLst>
              <c:ext xmlns:c16="http://schemas.microsoft.com/office/drawing/2014/chart" uri="{C3380CC4-5D6E-409C-BE32-E72D297353CC}">
                <c16:uniqueId val="{0000008B-FB63-4B88-A113-7171D172DA97}"/>
              </c:ext>
            </c:extLst>
          </c:dPt>
          <c:dPt>
            <c:idx val="42"/>
            <c:invertIfNegative val="0"/>
            <c:bubble3D val="0"/>
            <c:spPr>
              <a:solidFill>
                <a:srgbClr val="004A82"/>
              </a:solidFill>
              <a:ln>
                <a:noFill/>
              </a:ln>
              <a:effectLst/>
            </c:spPr>
            <c:extLst>
              <c:ext xmlns:c16="http://schemas.microsoft.com/office/drawing/2014/chart" uri="{C3380CC4-5D6E-409C-BE32-E72D297353CC}">
                <c16:uniqueId val="{0000008D-FB63-4B88-A113-7171D172DA97}"/>
              </c:ext>
            </c:extLst>
          </c:dPt>
          <c:dPt>
            <c:idx val="45"/>
            <c:invertIfNegative val="0"/>
            <c:bubble3D val="0"/>
            <c:spPr>
              <a:solidFill>
                <a:srgbClr val="B00000"/>
              </a:solidFill>
              <a:ln>
                <a:noFill/>
              </a:ln>
              <a:effectLst/>
            </c:spPr>
            <c:extLst>
              <c:ext xmlns:c16="http://schemas.microsoft.com/office/drawing/2014/chart" uri="{C3380CC4-5D6E-409C-BE32-E72D297353CC}">
                <c16:uniqueId val="{0000008F-FB63-4B88-A113-7171D172DA97}"/>
              </c:ext>
            </c:extLst>
          </c:dPt>
          <c:dPt>
            <c:idx val="46"/>
            <c:invertIfNegative val="0"/>
            <c:bubble3D val="0"/>
            <c:spPr>
              <a:solidFill>
                <a:srgbClr val="004A82"/>
              </a:solidFill>
              <a:ln>
                <a:noFill/>
              </a:ln>
              <a:effectLst/>
            </c:spPr>
            <c:extLst>
              <c:ext xmlns:c16="http://schemas.microsoft.com/office/drawing/2014/chart" uri="{C3380CC4-5D6E-409C-BE32-E72D297353CC}">
                <c16:uniqueId val="{00000091-FB63-4B88-A113-7171D172DA97}"/>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Calculations!$O$55:$O$102</c:f>
              <c:numCache>
                <c:formatCode>_ * #,##0_ ;_ * \-#,##0_ ;_ * "-"??_ ;_ @_ </c:formatCode>
                <c:ptCount val="48"/>
                <c:pt idx="0">
                  <c:v>0</c:v>
                </c:pt>
                <c:pt idx="1">
                  <c:v>0</c:v>
                </c:pt>
                <c:pt idx="2">
                  <c:v>0</c:v>
                </c:pt>
                <c:pt idx="4">
                  <c:v>0</c:v>
                </c:pt>
                <c:pt idx="5">
                  <c:v>110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FB63-4B88-A113-7171D172DA97}"/>
            </c:ext>
          </c:extLst>
        </c:ser>
        <c:ser>
          <c:idx val="3"/>
          <c:order val="3"/>
          <c:spPr>
            <a:solidFill>
              <a:srgbClr val="E2E2E2"/>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Calculations!$P$55:$P$102</c:f>
              <c:numCache>
                <c:formatCode>_ * #,##0_ ;_ * \-#,##0_ ;_ * "-"??_ ;_ @_ </c:formatCode>
                <c:ptCount val="48"/>
                <c:pt idx="0">
                  <c:v>4650</c:v>
                </c:pt>
                <c:pt idx="1">
                  <c:v>2800</c:v>
                </c:pt>
                <c:pt idx="2">
                  <c:v>1750</c:v>
                </c:pt>
                <c:pt idx="4">
                  <c:v>0</c:v>
                </c:pt>
                <c:pt idx="5">
                  <c:v>0</c:v>
                </c:pt>
                <c:pt idx="6">
                  <c:v>0</c:v>
                </c:pt>
                <c:pt idx="8">
                  <c:v>4600</c:v>
                </c:pt>
                <c:pt idx="9">
                  <c:v>2080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FB63-4B88-A113-7171D172DA97}"/>
            </c:ext>
          </c:extLst>
        </c:ser>
        <c:ser>
          <c:idx val="4"/>
          <c:order val="4"/>
          <c:spPr>
            <a:solidFill>
              <a:srgbClr val="F2F2F2"/>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Calculations!$Q$55:$Q$102</c:f>
              <c:numCache>
                <c:formatCode>_ * #,##0_ ;_ * \-#,##0_ ;_ * "-"??_ ;_ @_ </c:formatCode>
                <c:ptCount val="48"/>
                <c:pt idx="0">
                  <c:v>0</c:v>
                </c:pt>
                <c:pt idx="1">
                  <c:v>100</c:v>
                </c:pt>
                <c:pt idx="2">
                  <c:v>0</c:v>
                </c:pt>
                <c:pt idx="4">
                  <c:v>0</c:v>
                </c:pt>
                <c:pt idx="5">
                  <c:v>0</c:v>
                </c:pt>
                <c:pt idx="6">
                  <c:v>0</c:v>
                </c:pt>
                <c:pt idx="8">
                  <c:v>0</c:v>
                </c:pt>
                <c:pt idx="9">
                  <c:v>970</c:v>
                </c:pt>
                <c:pt idx="10">
                  <c:v>1550</c:v>
                </c:pt>
                <c:pt idx="12">
                  <c:v>5650</c:v>
                </c:pt>
                <c:pt idx="13">
                  <c:v>3800</c:v>
                </c:pt>
                <c:pt idx="14">
                  <c:v>1850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94-FB63-4B88-A113-7171D172DA97}"/>
            </c:ext>
          </c:extLst>
        </c:ser>
        <c:ser>
          <c:idx val="5"/>
          <c:order val="5"/>
          <c:spPr>
            <a:solidFill>
              <a:srgbClr val="CDCDCD"/>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Calculations!$R$55:$R$102</c:f>
              <c:numCache>
                <c:formatCode>_ * #,##0_ ;_ * \-#,##0_ ;_ * "-"??_ ;_ @_ </c:formatCode>
                <c:ptCount val="48"/>
                <c:pt idx="0">
                  <c:v>200</c:v>
                </c:pt>
                <c:pt idx="1">
                  <c:v>0</c:v>
                </c:pt>
                <c:pt idx="2">
                  <c:v>300</c:v>
                </c:pt>
                <c:pt idx="4">
                  <c:v>0</c:v>
                </c:pt>
                <c:pt idx="5">
                  <c:v>0</c:v>
                </c:pt>
                <c:pt idx="6">
                  <c:v>0</c:v>
                </c:pt>
                <c:pt idx="8">
                  <c:v>100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FB63-4B88-A113-7171D172DA97}"/>
            </c:ext>
          </c:extLst>
        </c:ser>
        <c:dLbls>
          <c:showLegendKey val="0"/>
          <c:showVal val="0"/>
          <c:showCatName val="0"/>
          <c:showSerName val="0"/>
          <c:showPercent val="0"/>
          <c:showBubbleSize val="0"/>
        </c:dLbls>
        <c:gapWidth val="15"/>
        <c:overlap val="100"/>
        <c:axId val="935409663"/>
        <c:axId val="935396351"/>
      </c:barChart>
      <c:catAx>
        <c:axId val="935409663"/>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50000"/>
                  </a:schemeClr>
                </a:solidFill>
                <a:latin typeface="+mn-lt"/>
                <a:ea typeface="+mn-ea"/>
                <a:cs typeface="+mn-cs"/>
              </a:defRPr>
            </a:pPr>
            <a:endParaRPr lang="en-US"/>
          </a:p>
        </c:txPr>
        <c:crossAx val="935396351"/>
        <c:crosses val="autoZero"/>
        <c:auto val="0"/>
        <c:lblAlgn val="ctr"/>
        <c:lblOffset val="100"/>
        <c:noMultiLvlLbl val="0"/>
      </c:catAx>
      <c:valAx>
        <c:axId val="935396351"/>
        <c:scaling>
          <c:orientation val="minMax"/>
        </c:scaling>
        <c:delete val="0"/>
        <c:axPos val="l"/>
        <c:majorGridlines>
          <c:spPr>
            <a:ln w="9525" cap="flat" cmpd="sng" algn="ctr">
              <a:no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50000"/>
                  </a:schemeClr>
                </a:solidFill>
                <a:latin typeface="+mn-lt"/>
                <a:ea typeface="+mn-ea"/>
                <a:cs typeface="+mn-cs"/>
              </a:defRPr>
            </a:pPr>
            <a:endParaRPr lang="en-US"/>
          </a:p>
        </c:txPr>
        <c:crossAx val="9354096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val>
            <c:numRef>
              <c:f>Calculations!$E$24</c:f>
              <c:numCache>
                <c:formatCode>0%</c:formatCode>
                <c:ptCount val="1"/>
                <c:pt idx="0">
                  <c:v>1</c:v>
                </c:pt>
              </c:numCache>
            </c:numRef>
          </c:val>
          <c:extLst>
            <c:ext xmlns:c16="http://schemas.microsoft.com/office/drawing/2014/chart" uri="{C3380CC4-5D6E-409C-BE32-E72D297353CC}">
              <c16:uniqueId val="{00000000-7484-4333-AC6B-9552777A5C20}"/>
            </c:ext>
          </c:extLst>
        </c:ser>
        <c:dLbls>
          <c:showLegendKey val="0"/>
          <c:showVal val="0"/>
          <c:showCatName val="0"/>
          <c:showSerName val="0"/>
          <c:showPercent val="0"/>
          <c:showBubbleSize val="0"/>
        </c:dLbls>
        <c:gapWidth val="0"/>
        <c:axId val="261805760"/>
        <c:axId val="261798688"/>
      </c:barChart>
      <c:catAx>
        <c:axId val="261805760"/>
        <c:scaling>
          <c:orientation val="minMax"/>
        </c:scaling>
        <c:delete val="1"/>
        <c:axPos val="l"/>
        <c:majorTickMark val="none"/>
        <c:minorTickMark val="none"/>
        <c:tickLblPos val="nextTo"/>
        <c:crossAx val="261798688"/>
        <c:crosses val="autoZero"/>
        <c:auto val="1"/>
        <c:lblAlgn val="ctr"/>
        <c:lblOffset val="100"/>
        <c:noMultiLvlLbl val="0"/>
      </c:catAx>
      <c:valAx>
        <c:axId val="261798688"/>
        <c:scaling>
          <c:orientation val="minMax"/>
          <c:max val="1"/>
        </c:scaling>
        <c:delete val="1"/>
        <c:axPos val="b"/>
        <c:numFmt formatCode="0%" sourceLinked="1"/>
        <c:majorTickMark val="none"/>
        <c:minorTickMark val="none"/>
        <c:tickLblPos val="nextTo"/>
        <c:crossAx val="261805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59531</xdr:colOff>
      <xdr:row>3</xdr:row>
      <xdr:rowOff>170889</xdr:rowOff>
    </xdr:from>
    <xdr:to>
      <xdr:col>3</xdr:col>
      <xdr:colOff>83344</xdr:colOff>
      <xdr:row>8</xdr:row>
      <xdr:rowOff>111358</xdr:rowOff>
    </xdr:to>
    <xdr:grpSp>
      <xdr:nvGrpSpPr>
        <xdr:cNvPr id="28" name="Group 27"/>
        <xdr:cNvGrpSpPr/>
      </xdr:nvGrpSpPr>
      <xdr:grpSpPr>
        <a:xfrm>
          <a:off x="250031" y="731183"/>
          <a:ext cx="1928813" cy="859351"/>
          <a:chOff x="250031" y="702469"/>
          <a:chExt cx="1928813" cy="857250"/>
        </a:xfrm>
      </xdr:grpSpPr>
      <xdr:sp macro="" textlink="">
        <xdr:nvSpPr>
          <xdr:cNvPr id="2" name="Rounded Rectangle 1"/>
          <xdr:cNvSpPr/>
        </xdr:nvSpPr>
        <xdr:spPr>
          <a:xfrm>
            <a:off x="250031" y="702469"/>
            <a:ext cx="1928813" cy="857250"/>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xdr:cNvSpPr txBox="1"/>
        </xdr:nvSpPr>
        <xdr:spPr>
          <a:xfrm>
            <a:off x="357188" y="809623"/>
            <a:ext cx="1297781"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Date of Today</a:t>
            </a:r>
          </a:p>
        </xdr:txBody>
      </xdr:sp>
      <xdr:sp macro="" textlink="Calculations!E8">
        <xdr:nvSpPr>
          <xdr:cNvPr id="4" name="TextBox 3"/>
          <xdr:cNvSpPr txBox="1"/>
        </xdr:nvSpPr>
        <xdr:spPr>
          <a:xfrm>
            <a:off x="357187" y="1059656"/>
            <a:ext cx="988219"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1943D8-19E4-4567-ABF5-89FDCB8C2F2B}" type="TxLink">
              <a:rPr lang="en-US" sz="1100" b="1" i="0" u="none" strike="noStrike">
                <a:solidFill>
                  <a:srgbClr val="000000"/>
                </a:solidFill>
                <a:latin typeface="Calibri"/>
                <a:cs typeface="Calibri"/>
              </a:rPr>
              <a:pPr/>
              <a:t>7-Feb-25</a:t>
            </a:fld>
            <a:endParaRPr lang="en-US" sz="1200" b="1"/>
          </a:p>
        </xdr:txBody>
      </xdr:sp>
    </xdr:grpSp>
    <xdr:clientData/>
  </xdr:twoCellAnchor>
  <xdr:twoCellAnchor editAs="absolute">
    <xdr:from>
      <xdr:col>3</xdr:col>
      <xdr:colOff>202406</xdr:colOff>
      <xdr:row>3</xdr:row>
      <xdr:rowOff>170889</xdr:rowOff>
    </xdr:from>
    <xdr:to>
      <xdr:col>4</xdr:col>
      <xdr:colOff>988219</xdr:colOff>
      <xdr:row>8</xdr:row>
      <xdr:rowOff>111358</xdr:rowOff>
    </xdr:to>
    <xdr:grpSp>
      <xdr:nvGrpSpPr>
        <xdr:cNvPr id="29" name="Group 28"/>
        <xdr:cNvGrpSpPr/>
      </xdr:nvGrpSpPr>
      <xdr:grpSpPr>
        <a:xfrm>
          <a:off x="2297906" y="731183"/>
          <a:ext cx="2410666" cy="859351"/>
          <a:chOff x="2297906" y="702468"/>
          <a:chExt cx="2416969" cy="857250"/>
        </a:xfrm>
      </xdr:grpSpPr>
      <xdr:sp macro="" textlink="">
        <xdr:nvSpPr>
          <xdr:cNvPr id="6" name="Rounded Rectangle 5"/>
          <xdr:cNvSpPr/>
        </xdr:nvSpPr>
        <xdr:spPr>
          <a:xfrm>
            <a:off x="2297906" y="702468"/>
            <a:ext cx="2416969" cy="857250"/>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E9">
        <xdr:nvSpPr>
          <xdr:cNvPr id="8" name="TextBox 7"/>
          <xdr:cNvSpPr txBox="1"/>
        </xdr:nvSpPr>
        <xdr:spPr>
          <a:xfrm>
            <a:off x="2500312" y="1047748"/>
            <a:ext cx="1000125" cy="30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EFDFE6-39DE-487C-9B06-094C4E2451E3}" type="TxLink">
              <a:rPr lang="en-US" sz="1200" b="1" i="0" u="none" strike="noStrike">
                <a:solidFill>
                  <a:srgbClr val="000000"/>
                </a:solidFill>
                <a:latin typeface="Calibri"/>
                <a:cs typeface="Calibri"/>
              </a:rPr>
              <a:pPr/>
              <a:t>15-Mar-22</a:t>
            </a:fld>
            <a:endParaRPr lang="en-US" sz="1200" b="1" i="0" u="none" strike="noStrike">
              <a:solidFill>
                <a:srgbClr val="000000"/>
              </a:solidFill>
              <a:latin typeface="Calibri"/>
              <a:cs typeface="Calibri"/>
            </a:endParaRPr>
          </a:p>
        </xdr:txBody>
      </xdr:sp>
      <xdr:sp macro="" textlink="">
        <xdr:nvSpPr>
          <xdr:cNvPr id="17" name="TextBox 16"/>
          <xdr:cNvSpPr txBox="1"/>
        </xdr:nvSpPr>
        <xdr:spPr>
          <a:xfrm>
            <a:off x="2464594" y="773906"/>
            <a:ext cx="1512093" cy="25003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Date of Last Record</a:t>
            </a:r>
          </a:p>
        </xdr:txBody>
      </xdr:sp>
      <xdr:sp macro="" textlink="Calculations!E10">
        <xdr:nvSpPr>
          <xdr:cNvPr id="18" name="TextBox 17"/>
          <xdr:cNvSpPr txBox="1"/>
        </xdr:nvSpPr>
        <xdr:spPr>
          <a:xfrm>
            <a:off x="3299374" y="1069380"/>
            <a:ext cx="119062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FD691A-16BB-44EE-953F-9D1BAD33061D}" type="TxLink">
              <a:rPr lang="en-US" sz="1050" b="0" i="0" u="none" strike="noStrike">
                <a:solidFill>
                  <a:srgbClr val="000000"/>
                </a:solidFill>
                <a:latin typeface="Calibri"/>
                <a:cs typeface="Calibri"/>
              </a:rPr>
              <a:pPr/>
              <a:t>(1060 days ago)</a:t>
            </a:fld>
            <a:endParaRPr lang="en-US" sz="1050" b="1" i="0" u="none" strike="noStrike">
              <a:solidFill>
                <a:srgbClr val="000000"/>
              </a:solidFill>
              <a:latin typeface="Calibri"/>
              <a:cs typeface="Calibri"/>
            </a:endParaRPr>
          </a:p>
        </xdr:txBody>
      </xdr:sp>
    </xdr:grpSp>
    <xdr:clientData/>
  </xdr:twoCellAnchor>
  <xdr:twoCellAnchor editAs="absolute">
    <xdr:from>
      <xdr:col>4</xdr:col>
      <xdr:colOff>1107280</xdr:colOff>
      <xdr:row>3</xdr:row>
      <xdr:rowOff>182795</xdr:rowOff>
    </xdr:from>
    <xdr:to>
      <xdr:col>7</xdr:col>
      <xdr:colOff>190499</xdr:colOff>
      <xdr:row>8</xdr:row>
      <xdr:rowOff>123264</xdr:rowOff>
    </xdr:to>
    <xdr:grpSp>
      <xdr:nvGrpSpPr>
        <xdr:cNvPr id="30" name="Group 29"/>
        <xdr:cNvGrpSpPr/>
      </xdr:nvGrpSpPr>
      <xdr:grpSpPr>
        <a:xfrm>
          <a:off x="4827633" y="743089"/>
          <a:ext cx="2523425" cy="859351"/>
          <a:chOff x="4929187" y="726281"/>
          <a:chExt cx="2476499" cy="857250"/>
        </a:xfrm>
      </xdr:grpSpPr>
      <xdr:sp macro="" textlink="">
        <xdr:nvSpPr>
          <xdr:cNvPr id="20" name="Rounded Rectangle 19"/>
          <xdr:cNvSpPr/>
        </xdr:nvSpPr>
        <xdr:spPr>
          <a:xfrm>
            <a:off x="4929187" y="726281"/>
            <a:ext cx="2476499" cy="857250"/>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E11">
        <xdr:nvSpPr>
          <xdr:cNvPr id="21" name="TextBox 20"/>
          <xdr:cNvSpPr txBox="1"/>
        </xdr:nvSpPr>
        <xdr:spPr>
          <a:xfrm>
            <a:off x="5131594" y="1071561"/>
            <a:ext cx="333375" cy="30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E86E50-926B-4E5E-AE39-F26CD7EC23A4}" type="TxLink">
              <a:rPr lang="en-US" sz="1200" b="1" i="0" u="none" strike="noStrike">
                <a:solidFill>
                  <a:srgbClr val="000000"/>
                </a:solidFill>
                <a:latin typeface="Calibri"/>
                <a:cs typeface="Calibri"/>
              </a:rPr>
              <a:pPr/>
              <a:t>59</a:t>
            </a:fld>
            <a:endParaRPr lang="en-US" sz="1200" b="1" i="0" u="none" strike="noStrike">
              <a:solidFill>
                <a:srgbClr val="000000"/>
              </a:solidFill>
              <a:latin typeface="Calibri"/>
              <a:cs typeface="Calibri"/>
            </a:endParaRPr>
          </a:p>
        </xdr:txBody>
      </xdr:sp>
      <xdr:sp macro="" textlink="">
        <xdr:nvSpPr>
          <xdr:cNvPr id="22" name="TextBox 21"/>
          <xdr:cNvSpPr txBox="1"/>
        </xdr:nvSpPr>
        <xdr:spPr>
          <a:xfrm>
            <a:off x="5095875" y="797719"/>
            <a:ext cx="1666875" cy="27384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a:t>
            </a:r>
            <a:r>
              <a:rPr lang="en-IN" sz="1200" b="1" baseline="0"/>
              <a:t> of Tracked </a:t>
            </a:r>
            <a:r>
              <a:rPr lang="en-IN" sz="1200" b="1"/>
              <a:t>Record</a:t>
            </a:r>
          </a:p>
        </xdr:txBody>
      </xdr:sp>
      <xdr:sp macro="" textlink="Calculations!E12">
        <xdr:nvSpPr>
          <xdr:cNvPr id="23" name="TextBox 22"/>
          <xdr:cNvSpPr txBox="1"/>
        </xdr:nvSpPr>
        <xdr:spPr>
          <a:xfrm>
            <a:off x="5453061" y="1083469"/>
            <a:ext cx="1190625"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03C538-A6E4-4399-93A7-0C5462498F8C}" type="TxLink">
              <a:rPr lang="en-US" sz="1050" b="0" i="0" u="none" strike="noStrike">
                <a:solidFill>
                  <a:srgbClr val="000000"/>
                </a:solidFill>
                <a:latin typeface="Calibri"/>
                <a:cs typeface="Calibri"/>
              </a:rPr>
              <a:pPr/>
              <a:t>(0 this year)</a:t>
            </a:fld>
            <a:endParaRPr lang="en-US" sz="1050" b="1" i="0" u="none" strike="noStrike">
              <a:solidFill>
                <a:srgbClr val="000000"/>
              </a:solidFill>
              <a:latin typeface="Calibri"/>
              <a:cs typeface="Calibri"/>
            </a:endParaRPr>
          </a:p>
        </xdr:txBody>
      </xdr:sp>
    </xdr:grpSp>
    <xdr:clientData/>
  </xdr:twoCellAnchor>
  <xdr:twoCellAnchor editAs="absolute">
    <xdr:from>
      <xdr:col>7</xdr:col>
      <xdr:colOff>309563</xdr:colOff>
      <xdr:row>3</xdr:row>
      <xdr:rowOff>170889</xdr:rowOff>
    </xdr:from>
    <xdr:to>
      <xdr:col>12</xdr:col>
      <xdr:colOff>285750</xdr:colOff>
      <xdr:row>8</xdr:row>
      <xdr:rowOff>111358</xdr:rowOff>
    </xdr:to>
    <xdr:grpSp>
      <xdr:nvGrpSpPr>
        <xdr:cNvPr id="31" name="Group 30"/>
        <xdr:cNvGrpSpPr/>
      </xdr:nvGrpSpPr>
      <xdr:grpSpPr>
        <a:xfrm>
          <a:off x="7470122" y="731183"/>
          <a:ext cx="3629304" cy="859351"/>
          <a:chOff x="7512843" y="714374"/>
          <a:chExt cx="3583781" cy="857250"/>
        </a:xfrm>
      </xdr:grpSpPr>
      <xdr:sp macro="" textlink="">
        <xdr:nvSpPr>
          <xdr:cNvPr id="24" name="Rounded Rectangle 23"/>
          <xdr:cNvSpPr/>
        </xdr:nvSpPr>
        <xdr:spPr>
          <a:xfrm>
            <a:off x="7512843" y="714374"/>
            <a:ext cx="3119438" cy="857250"/>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E13">
        <xdr:nvSpPr>
          <xdr:cNvPr id="25" name="TextBox 24"/>
          <xdr:cNvSpPr txBox="1"/>
        </xdr:nvSpPr>
        <xdr:spPr>
          <a:xfrm>
            <a:off x="7715249" y="1059654"/>
            <a:ext cx="1012032" cy="30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8BDF6-5720-4631-845B-F6813AB1393E}" type="TxLink">
              <a:rPr lang="en-US" sz="1200" b="1" i="0" u="none" strike="noStrike">
                <a:solidFill>
                  <a:srgbClr val="000000"/>
                </a:solidFill>
                <a:latin typeface="Calibri"/>
                <a:cs typeface="Calibri"/>
              </a:rPr>
              <a:pPr/>
              <a:t> 2,620 </a:t>
            </a:fld>
            <a:endParaRPr lang="en-US" sz="1400" b="1" i="0" u="none" strike="noStrike">
              <a:solidFill>
                <a:srgbClr val="000000"/>
              </a:solidFill>
              <a:latin typeface="Calibri"/>
              <a:cs typeface="Calibri"/>
            </a:endParaRPr>
          </a:p>
        </xdr:txBody>
      </xdr:sp>
      <xdr:sp macro="" textlink="">
        <xdr:nvSpPr>
          <xdr:cNvPr id="26" name="TextBox 25"/>
          <xdr:cNvSpPr txBox="1"/>
        </xdr:nvSpPr>
        <xdr:spPr>
          <a:xfrm>
            <a:off x="7679531" y="785812"/>
            <a:ext cx="1789054" cy="27384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Total Tracked Balance</a:t>
            </a:r>
            <a:endParaRPr lang="en-IN" sz="1200" b="1"/>
          </a:p>
        </xdr:txBody>
      </xdr:sp>
      <xdr:sp macro="" textlink="Calculations!E14">
        <xdr:nvSpPr>
          <xdr:cNvPr id="27" name="TextBox 26"/>
          <xdr:cNvSpPr txBox="1"/>
        </xdr:nvSpPr>
        <xdr:spPr>
          <a:xfrm>
            <a:off x="8381997" y="1071562"/>
            <a:ext cx="2714627"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73B150-1F3A-456A-91B9-3A12EE1BDE92}" type="TxLink">
              <a:rPr lang="en-US" sz="1100" b="0" i="0" u="none" strike="noStrike">
                <a:solidFill>
                  <a:srgbClr val="000000"/>
                </a:solidFill>
                <a:latin typeface="Calibri"/>
                <a:cs typeface="Calibri"/>
              </a:rPr>
              <a:pPr/>
              <a:t>of tracked income left to be allocated</a:t>
            </a:fld>
            <a:endParaRPr lang="en-US" sz="1050" b="1" i="0" u="none" strike="noStrike">
              <a:solidFill>
                <a:srgbClr val="000000"/>
              </a:solidFill>
              <a:latin typeface="Calibri"/>
              <a:cs typeface="Calibri"/>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285751</xdr:colOff>
      <xdr:row>12</xdr:row>
      <xdr:rowOff>107157</xdr:rowOff>
    </xdr:from>
    <xdr:to>
      <xdr:col>34</xdr:col>
      <xdr:colOff>642938</xdr:colOff>
      <xdr:row>13</xdr:row>
      <xdr:rowOff>178596</xdr:rowOff>
    </xdr:to>
    <xdr:sp macro="" textlink="">
      <xdr:nvSpPr>
        <xdr:cNvPr id="2" name="TextBox 1"/>
        <xdr:cNvSpPr txBox="1"/>
      </xdr:nvSpPr>
      <xdr:spPr>
        <a:xfrm>
          <a:off x="6822282" y="2297907"/>
          <a:ext cx="258365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50"/>
              </a:solidFill>
            </a:rPr>
            <a:t>Income</a:t>
          </a:r>
          <a:r>
            <a:rPr lang="en-IN" sz="1100" b="1" baseline="0">
              <a:solidFill>
                <a:srgbClr val="00B050"/>
              </a:solidFill>
            </a:rPr>
            <a:t> </a:t>
          </a:r>
          <a:r>
            <a:rPr lang="en-IN" sz="1100" b="1" baseline="0"/>
            <a:t>Categories (Tracked)</a:t>
          </a:r>
          <a:endParaRPr lang="en-IN" sz="1100" b="1"/>
        </a:p>
      </xdr:txBody>
    </xdr:sp>
    <xdr:clientData/>
  </xdr:twoCellAnchor>
  <xdr:twoCellAnchor editAs="oneCell">
    <xdr:from>
      <xdr:col>31</xdr:col>
      <xdr:colOff>47623</xdr:colOff>
      <xdr:row>14</xdr:row>
      <xdr:rowOff>59531</xdr:rowOff>
    </xdr:from>
    <xdr:to>
      <xdr:col>33</xdr:col>
      <xdr:colOff>71437</xdr:colOff>
      <xdr:row>24</xdr:row>
      <xdr:rowOff>98531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30</xdr:col>
      <xdr:colOff>285751</xdr:colOff>
      <xdr:row>25</xdr:row>
      <xdr:rowOff>107157</xdr:rowOff>
    </xdr:from>
    <xdr:ext cx="2583656" cy="261938"/>
    <xdr:sp macro="" textlink="">
      <xdr:nvSpPr>
        <xdr:cNvPr id="4" name="TextBox 3"/>
        <xdr:cNvSpPr txBox="1"/>
      </xdr:nvSpPr>
      <xdr:spPr>
        <a:xfrm>
          <a:off x="6822282" y="2297907"/>
          <a:ext cx="258365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rgbClr val="FF0000"/>
              </a:solidFill>
            </a:rPr>
            <a:t>Expenses</a:t>
          </a:r>
          <a:r>
            <a:rPr lang="en-IN" sz="1100" b="1" baseline="0">
              <a:solidFill>
                <a:srgbClr val="00B050"/>
              </a:solidFill>
            </a:rPr>
            <a:t> </a:t>
          </a:r>
          <a:r>
            <a:rPr lang="en-IN" sz="1100" b="1" baseline="0"/>
            <a:t>Categories (Tracked)</a:t>
          </a:r>
          <a:endParaRPr lang="en-IN" sz="1100" b="1"/>
        </a:p>
      </xdr:txBody>
    </xdr:sp>
    <xdr:clientData/>
  </xdr:oneCellAnchor>
  <xdr:oneCellAnchor>
    <xdr:from>
      <xdr:col>31</xdr:col>
      <xdr:colOff>47623</xdr:colOff>
      <xdr:row>27</xdr:row>
      <xdr:rowOff>59531</xdr:rowOff>
    </xdr:from>
    <xdr:ext cx="1785939" cy="1944000"/>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0</xdr:colOff>
      <xdr:row>25</xdr:row>
      <xdr:rowOff>107157</xdr:rowOff>
    </xdr:from>
    <xdr:ext cx="2583656" cy="261938"/>
    <xdr:sp macro="" textlink="">
      <xdr:nvSpPr>
        <xdr:cNvPr id="6" name="TextBox 5"/>
        <xdr:cNvSpPr txBox="1"/>
      </xdr:nvSpPr>
      <xdr:spPr>
        <a:xfrm>
          <a:off x="11001375" y="4774407"/>
          <a:ext cx="258365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rgbClr val="0070C0"/>
              </a:solidFill>
            </a:rPr>
            <a:t>Savings</a:t>
          </a:r>
          <a:r>
            <a:rPr lang="en-IN" sz="1100" b="1" baseline="0">
              <a:solidFill>
                <a:srgbClr val="00B050"/>
              </a:solidFill>
            </a:rPr>
            <a:t> </a:t>
          </a:r>
          <a:r>
            <a:rPr lang="en-IN" sz="1100" b="1" baseline="0"/>
            <a:t>Categories (Tracked)</a:t>
          </a:r>
          <a:endParaRPr lang="en-IN" sz="1100" b="1"/>
        </a:p>
      </xdr:txBody>
    </xdr:sp>
    <xdr:clientData/>
  </xdr:oneCellAnchor>
  <xdr:oneCellAnchor>
    <xdr:from>
      <xdr:col>38</xdr:col>
      <xdr:colOff>47623</xdr:colOff>
      <xdr:row>27</xdr:row>
      <xdr:rowOff>59531</xdr:rowOff>
    </xdr:from>
    <xdr:ext cx="1785939" cy="1944000"/>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0</xdr:colOff>
      <xdr:row>12</xdr:row>
      <xdr:rowOff>107157</xdr:rowOff>
    </xdr:from>
    <xdr:to>
      <xdr:col>41</xdr:col>
      <xdr:colOff>654843</xdr:colOff>
      <xdr:row>13</xdr:row>
      <xdr:rowOff>178596</xdr:rowOff>
    </xdr:to>
    <xdr:sp macro="" textlink="">
      <xdr:nvSpPr>
        <xdr:cNvPr id="9" name="TextBox 8"/>
        <xdr:cNvSpPr txBox="1"/>
      </xdr:nvSpPr>
      <xdr:spPr>
        <a:xfrm>
          <a:off x="11001375" y="2297907"/>
          <a:ext cx="2583656"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dk1"/>
              </a:solidFill>
              <a:effectLst/>
              <a:latin typeface="+mn-lt"/>
              <a:ea typeface="+mn-ea"/>
              <a:cs typeface="+mn-cs"/>
            </a:rPr>
            <a:t>Tracked </a:t>
          </a:r>
          <a:r>
            <a:rPr lang="en-IN" sz="1100" b="1" baseline="0"/>
            <a:t>(Vs. Budget)  </a:t>
          </a:r>
          <a:endParaRPr lang="en-IN" sz="1100" b="1"/>
        </a:p>
      </xdr:txBody>
    </xdr:sp>
    <xdr:clientData/>
  </xdr:twoCellAnchor>
  <xdr:twoCellAnchor>
    <xdr:from>
      <xdr:col>38</xdr:col>
      <xdr:colOff>23812</xdr:colOff>
      <xdr:row>13</xdr:row>
      <xdr:rowOff>166686</xdr:rowOff>
    </xdr:from>
    <xdr:to>
      <xdr:col>43</xdr:col>
      <xdr:colOff>351562</xdr:colOff>
      <xdr:row>23</xdr:row>
      <xdr:rowOff>61686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42</xdr:col>
          <xdr:colOff>23813</xdr:colOff>
          <xdr:row>12</xdr:row>
          <xdr:rowOff>59530</xdr:rowOff>
        </xdr:from>
        <xdr:to>
          <xdr:col>43</xdr:col>
          <xdr:colOff>172313</xdr:colOff>
          <xdr:row>13</xdr:row>
          <xdr:rowOff>49031</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 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23813</xdr:colOff>
          <xdr:row>13</xdr:row>
          <xdr:rowOff>5951</xdr:rowOff>
        </xdr:from>
        <xdr:to>
          <xdr:col>43</xdr:col>
          <xdr:colOff>172313</xdr:colOff>
          <xdr:row>13</xdr:row>
          <xdr:rowOff>185951</xdr:rowOff>
        </xdr:to>
        <xdr:sp macro="" textlink="">
          <xdr:nvSpPr>
            <xdr:cNvPr id="2052" name="Check Box 4" hidden="1">
              <a:extLst>
                <a:ext uri="{63B3BB69-23CF-44E3-9099-C40C66FF867C}">
                  <a14:compatExt spid="_x0000_s2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252412</xdr:colOff>
          <xdr:row>12</xdr:row>
          <xdr:rowOff>59530</xdr:rowOff>
        </xdr:from>
        <xdr:to>
          <xdr:col>41</xdr:col>
          <xdr:colOff>972412</xdr:colOff>
          <xdr:row>13</xdr:row>
          <xdr:rowOff>49031</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Budget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23813</xdr:colOff>
          <xdr:row>13</xdr:row>
          <xdr:rowOff>142873</xdr:rowOff>
        </xdr:from>
        <xdr:to>
          <xdr:col>43</xdr:col>
          <xdr:colOff>172313</xdr:colOff>
          <xdr:row>14</xdr:row>
          <xdr:rowOff>132372</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Savings</a:t>
              </a:r>
            </a:p>
          </xdr:txBody>
        </xdr:sp>
        <xdr:clientData/>
      </xdr:twoCellAnchor>
    </mc:Choice>
    <mc:Fallback/>
  </mc:AlternateContent>
  <xdr:twoCellAnchor>
    <xdr:from>
      <xdr:col>41</xdr:col>
      <xdr:colOff>238123</xdr:colOff>
      <xdr:row>12</xdr:row>
      <xdr:rowOff>71436</xdr:rowOff>
    </xdr:from>
    <xdr:to>
      <xdr:col>43</xdr:col>
      <xdr:colOff>226686</xdr:colOff>
      <xdr:row>14</xdr:row>
      <xdr:rowOff>122436</xdr:rowOff>
    </xdr:to>
    <xdr:sp macro="" textlink="">
      <xdr:nvSpPr>
        <xdr:cNvPr id="8" name="Rectangle 7"/>
        <xdr:cNvSpPr/>
      </xdr:nvSpPr>
      <xdr:spPr>
        <a:xfrm>
          <a:off x="13168311" y="2262186"/>
          <a:ext cx="1584000" cy="432000"/>
        </a:xfrm>
        <a:prstGeom prst="rect">
          <a:avLst/>
        </a:prstGeom>
        <a:no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243102</xdr:colOff>
      <xdr:row>3</xdr:row>
      <xdr:rowOff>183918</xdr:rowOff>
    </xdr:from>
    <xdr:to>
      <xdr:col>26</xdr:col>
      <xdr:colOff>396875</xdr:colOff>
      <xdr:row>8</xdr:row>
      <xdr:rowOff>114001</xdr:rowOff>
    </xdr:to>
    <xdr:sp macro="" textlink="">
      <xdr:nvSpPr>
        <xdr:cNvPr id="16" name="Rounded Rectangle 15"/>
        <xdr:cNvSpPr/>
      </xdr:nvSpPr>
      <xdr:spPr>
        <a:xfrm>
          <a:off x="458548" y="750882"/>
          <a:ext cx="3101988" cy="893923"/>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68035</xdr:colOff>
      <xdr:row>4</xdr:row>
      <xdr:rowOff>62060</xdr:rowOff>
    </xdr:from>
    <xdr:to>
      <xdr:col>24</xdr:col>
      <xdr:colOff>1768928</xdr:colOff>
      <xdr:row>5</xdr:row>
      <xdr:rowOff>181505</xdr:rowOff>
    </xdr:to>
    <xdr:sp macro="" textlink="">
      <xdr:nvSpPr>
        <xdr:cNvPr id="17" name="TextBox 16"/>
        <xdr:cNvSpPr txBox="1"/>
      </xdr:nvSpPr>
      <xdr:spPr>
        <a:xfrm>
          <a:off x="544285" y="821792"/>
          <a:ext cx="1700893" cy="312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Selected</a:t>
          </a:r>
          <a:r>
            <a:rPr lang="en-IN" sz="1100" b="1" baseline="0"/>
            <a:t> Year &amp; Period</a:t>
          </a:r>
          <a:endParaRPr lang="en-IN" sz="1100" b="1"/>
        </a:p>
      </xdr:txBody>
    </xdr:sp>
    <xdr:clientData/>
  </xdr:twoCellAnchor>
  <xdr:twoCellAnchor>
    <xdr:from>
      <xdr:col>24</xdr:col>
      <xdr:colOff>170089</xdr:colOff>
      <xdr:row>5</xdr:row>
      <xdr:rowOff>170089</xdr:rowOff>
    </xdr:from>
    <xdr:to>
      <xdr:col>24</xdr:col>
      <xdr:colOff>818089</xdr:colOff>
      <xdr:row>7</xdr:row>
      <xdr:rowOff>36553</xdr:rowOff>
    </xdr:to>
    <xdr:sp macro="" textlink="selected_year">
      <xdr:nvSpPr>
        <xdr:cNvPr id="12" name="Rounded Rectangle 11"/>
        <xdr:cNvSpPr/>
      </xdr:nvSpPr>
      <xdr:spPr>
        <a:xfrm>
          <a:off x="646339" y="1122589"/>
          <a:ext cx="648000" cy="252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7A4471-DED1-4BFC-980E-65263CA65DA3}" type="TxLink">
            <a:rPr lang="en-US" sz="1000" b="1" i="0" u="none" strike="noStrike">
              <a:solidFill>
                <a:srgbClr val="000000"/>
              </a:solidFill>
              <a:latin typeface="Calibri"/>
              <a:cs typeface="Calibri"/>
            </a:rPr>
            <a:pPr algn="ctr"/>
            <a:t>2022</a:t>
          </a:fld>
          <a:endParaRPr lang="en-IN" sz="1000" b="1"/>
        </a:p>
      </xdr:txBody>
    </xdr:sp>
    <xdr:clientData/>
  </xdr:twoCellAnchor>
  <xdr:twoCellAnchor>
    <xdr:from>
      <xdr:col>24</xdr:col>
      <xdr:colOff>889454</xdr:colOff>
      <xdr:row>5</xdr:row>
      <xdr:rowOff>175079</xdr:rowOff>
    </xdr:from>
    <xdr:to>
      <xdr:col>24</xdr:col>
      <xdr:colOff>1753454</xdr:colOff>
      <xdr:row>7</xdr:row>
      <xdr:rowOff>41543</xdr:rowOff>
    </xdr:to>
    <xdr:sp macro="" textlink="selected_period_display">
      <xdr:nvSpPr>
        <xdr:cNvPr id="21" name="Rounded Rectangle 20"/>
        <xdr:cNvSpPr/>
      </xdr:nvSpPr>
      <xdr:spPr>
        <a:xfrm>
          <a:off x="1365704" y="1127579"/>
          <a:ext cx="864000" cy="252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2D9F3E6-74D9-4CB5-BB95-6776F995A0B0}" type="TxLink">
            <a:rPr lang="en-US" sz="1000" b="1" i="0" u="none" strike="noStrike">
              <a:solidFill>
                <a:srgbClr val="000000"/>
              </a:solidFill>
              <a:latin typeface="Calibri"/>
              <a:cs typeface="Calibri"/>
            </a:rPr>
            <a:t>February</a:t>
          </a:fld>
          <a:endParaRPr lang="en-IN" sz="800" b="1"/>
        </a:p>
      </xdr:txBody>
    </xdr:sp>
    <xdr:clientData/>
  </xdr:twoCellAnchor>
  <xdr:twoCellAnchor>
    <xdr:from>
      <xdr:col>26</xdr:col>
      <xdr:colOff>635000</xdr:colOff>
      <xdr:row>3</xdr:row>
      <xdr:rowOff>183918</xdr:rowOff>
    </xdr:from>
    <xdr:to>
      <xdr:col>28</xdr:col>
      <xdr:colOff>418419</xdr:colOff>
      <xdr:row>8</xdr:row>
      <xdr:rowOff>3086</xdr:rowOff>
    </xdr:to>
    <xdr:grpSp>
      <xdr:nvGrpSpPr>
        <xdr:cNvPr id="14" name="Group 13"/>
        <xdr:cNvGrpSpPr/>
      </xdr:nvGrpSpPr>
      <xdr:grpSpPr>
        <a:xfrm>
          <a:off x="3790156" y="624449"/>
          <a:ext cx="1474107" cy="771668"/>
          <a:chOff x="3424465" y="750883"/>
          <a:chExt cx="1484312" cy="783008"/>
        </a:xfrm>
      </xdr:grpSpPr>
      <xdr:sp macro="" textlink="">
        <xdr:nvSpPr>
          <xdr:cNvPr id="22" name="Rounded Rectangle 21"/>
          <xdr:cNvSpPr/>
        </xdr:nvSpPr>
        <xdr:spPr>
          <a:xfrm>
            <a:off x="3424465" y="750883"/>
            <a:ext cx="1281340" cy="779922"/>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xdr:cNvSpPr txBox="1"/>
        </xdr:nvSpPr>
        <xdr:spPr>
          <a:xfrm>
            <a:off x="3610996" y="844471"/>
            <a:ext cx="1297781" cy="298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Period</a:t>
            </a:r>
            <a:r>
              <a:rPr lang="en-IN" sz="1100" b="1" baseline="0"/>
              <a:t> Compl.</a:t>
            </a:r>
            <a:endParaRPr lang="en-IN" sz="1100" b="1"/>
          </a:p>
        </xdr:txBody>
      </xdr:sp>
      <xdr:graphicFrame macro="">
        <xdr:nvGraphicFramePr>
          <xdr:cNvPr id="26" name="Chart 25"/>
          <xdr:cNvGraphicFramePr>
            <a:graphicFrameLocks/>
          </xdr:cNvGraphicFramePr>
        </xdr:nvGraphicFramePr>
        <xdr:xfrm>
          <a:off x="3503840" y="1065891"/>
          <a:ext cx="1122589" cy="468000"/>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24" name="TextBox 23"/>
          <xdr:cNvSpPr txBox="1"/>
        </xdr:nvSpPr>
        <xdr:spPr>
          <a:xfrm>
            <a:off x="3840855" y="1129134"/>
            <a:ext cx="607219" cy="254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829577-C059-4094-9DF7-5A66B7B95EED}" type="TxLink">
              <a:rPr lang="en-US" sz="1200" b="1" i="0" u="none" strike="noStrike">
                <a:solidFill>
                  <a:srgbClr val="000000"/>
                </a:solidFill>
                <a:latin typeface="Calibri"/>
                <a:cs typeface="Calibri"/>
              </a:rPr>
              <a:pPr algn="ctr"/>
              <a:t>100%</a:t>
            </a:fld>
            <a:endParaRPr lang="en-US" sz="1400" b="1"/>
          </a:p>
        </xdr:txBody>
      </xdr:sp>
    </xdr:grpSp>
    <xdr:clientData/>
  </xdr:twoCellAnchor>
  <xdr:twoCellAnchor editAs="absolute">
    <xdr:from>
      <xdr:col>28</xdr:col>
      <xdr:colOff>396875</xdr:colOff>
      <xdr:row>3</xdr:row>
      <xdr:rowOff>183918</xdr:rowOff>
    </xdr:from>
    <xdr:to>
      <xdr:col>32</xdr:col>
      <xdr:colOff>653081</xdr:colOff>
      <xdr:row>8</xdr:row>
      <xdr:rowOff>79430</xdr:rowOff>
    </xdr:to>
    <xdr:grpSp>
      <xdr:nvGrpSpPr>
        <xdr:cNvPr id="28" name="Group 27"/>
        <xdr:cNvGrpSpPr/>
      </xdr:nvGrpSpPr>
      <xdr:grpSpPr>
        <a:xfrm>
          <a:off x="5242719" y="624449"/>
          <a:ext cx="3149425" cy="848012"/>
          <a:chOff x="7512843" y="714374"/>
          <a:chExt cx="3119438" cy="857250"/>
        </a:xfrm>
      </xdr:grpSpPr>
      <xdr:sp macro="" textlink="">
        <xdr:nvSpPr>
          <xdr:cNvPr id="29" name="Rounded Rectangle 28"/>
          <xdr:cNvSpPr/>
        </xdr:nvSpPr>
        <xdr:spPr>
          <a:xfrm>
            <a:off x="7512843" y="714374"/>
            <a:ext cx="3119438" cy="857250"/>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alculations!E25">
        <xdr:nvSpPr>
          <xdr:cNvPr id="30" name="TextBox 29"/>
          <xdr:cNvSpPr txBox="1"/>
        </xdr:nvSpPr>
        <xdr:spPr>
          <a:xfrm>
            <a:off x="7715249" y="1059654"/>
            <a:ext cx="1012032" cy="30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B8CF9B-5231-4AC3-AABB-D9FD2D69C392}" type="TxLink">
              <a:rPr lang="en-US" sz="1200" b="1" i="0" u="none" strike="noStrike">
                <a:solidFill>
                  <a:srgbClr val="000000"/>
                </a:solidFill>
                <a:latin typeface="Calibri"/>
                <a:cs typeface="Calibri"/>
              </a:rPr>
              <a:t>0</a:t>
            </a:fld>
            <a:endParaRPr lang="en-US" sz="1200" b="1" i="0" u="none" strike="noStrike">
              <a:solidFill>
                <a:srgbClr val="000000"/>
              </a:solidFill>
              <a:latin typeface="Calibri"/>
              <a:cs typeface="Calibri"/>
            </a:endParaRPr>
          </a:p>
        </xdr:txBody>
      </xdr:sp>
      <xdr:sp macro="" textlink="">
        <xdr:nvSpPr>
          <xdr:cNvPr id="31" name="TextBox 30"/>
          <xdr:cNvSpPr txBox="1"/>
        </xdr:nvSpPr>
        <xdr:spPr>
          <a:xfrm>
            <a:off x="7679531" y="785812"/>
            <a:ext cx="1789054" cy="27384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Period Tracking Balance</a:t>
            </a:r>
            <a:endParaRPr lang="en-IN" sz="1200" b="1"/>
          </a:p>
        </xdr:txBody>
      </xdr:sp>
      <xdr:sp macro="" textlink="Calculations!E26">
        <xdr:nvSpPr>
          <xdr:cNvPr id="32" name="TextBox 31"/>
          <xdr:cNvSpPr txBox="1"/>
        </xdr:nvSpPr>
        <xdr:spPr>
          <a:xfrm>
            <a:off x="8251849" y="1071562"/>
            <a:ext cx="2373777"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CC160F-3E2E-4B42-9649-0D3DDB3A4A10}" type="TxLink">
              <a:rPr lang="en-US" sz="1050" b="1" i="0" u="none" strike="noStrike">
                <a:solidFill>
                  <a:srgbClr val="000000"/>
                </a:solidFill>
                <a:latin typeface="Calibri"/>
                <a:cs typeface="Calibri"/>
              </a:rPr>
              <a:t>of tracked income left to be allocated</a:t>
            </a:fld>
            <a:endParaRPr lang="en-US" sz="1000" b="1" i="0" u="none" strike="noStrike">
              <a:solidFill>
                <a:srgbClr val="000000"/>
              </a:solidFill>
              <a:latin typeface="Calibri"/>
              <a:cs typeface="Calibri"/>
            </a:endParaRPr>
          </a:p>
        </xdr:txBody>
      </xdr:sp>
    </xdr:grpSp>
    <xdr:clientData/>
  </xdr:twoCellAnchor>
  <xdr:twoCellAnchor editAs="absolute">
    <xdr:from>
      <xdr:col>32</xdr:col>
      <xdr:colOff>810079</xdr:colOff>
      <xdr:row>3</xdr:row>
      <xdr:rowOff>183918</xdr:rowOff>
    </xdr:from>
    <xdr:to>
      <xdr:col>38</xdr:col>
      <xdr:colOff>544286</xdr:colOff>
      <xdr:row>8</xdr:row>
      <xdr:rowOff>79430</xdr:rowOff>
    </xdr:to>
    <xdr:sp macro="" textlink="">
      <xdr:nvSpPr>
        <xdr:cNvPr id="34" name="Rounded Rectangle 33"/>
        <xdr:cNvSpPr/>
      </xdr:nvSpPr>
      <xdr:spPr>
        <a:xfrm>
          <a:off x="8549142" y="624449"/>
          <a:ext cx="2996519" cy="848012"/>
        </a:xfrm>
        <a:prstGeom prst="roundRect">
          <a:avLst>
            <a:gd name="adj" fmla="val 20833"/>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93286</xdr:colOff>
      <xdr:row>4</xdr:row>
      <xdr:rowOff>77504</xdr:rowOff>
    </xdr:from>
    <xdr:to>
      <xdr:col>38</xdr:col>
      <xdr:colOff>238124</xdr:colOff>
      <xdr:row>7</xdr:row>
      <xdr:rowOff>83500</xdr:rowOff>
    </xdr:to>
    <xdr:grpSp>
      <xdr:nvGrpSpPr>
        <xdr:cNvPr id="20" name="Group 19"/>
        <xdr:cNvGrpSpPr/>
      </xdr:nvGrpSpPr>
      <xdr:grpSpPr>
        <a:xfrm>
          <a:off x="8689599" y="708535"/>
          <a:ext cx="2549900" cy="577496"/>
          <a:chOff x="8689599" y="708535"/>
          <a:chExt cx="2549900" cy="577496"/>
        </a:xfrm>
      </xdr:grpSpPr>
      <xdr:sp macro="" textlink="Calculations!E27">
        <xdr:nvSpPr>
          <xdr:cNvPr id="35" name="TextBox 34"/>
          <xdr:cNvSpPr txBox="1"/>
        </xdr:nvSpPr>
        <xdr:spPr>
          <a:xfrm>
            <a:off x="9664665" y="980244"/>
            <a:ext cx="632542" cy="305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EF1380-68D1-4D20-8408-AB1A7AF67F39}" type="TxLink">
              <a:rPr lang="en-US" sz="1200" b="1" i="0" u="none" strike="noStrike">
                <a:solidFill>
                  <a:srgbClr val="002060"/>
                </a:solidFill>
                <a:latin typeface="Calibri"/>
                <a:cs typeface="Calibri"/>
              </a:rPr>
              <a:pPr algn="ctr"/>
              <a:t>25.7%</a:t>
            </a:fld>
            <a:endParaRPr lang="en-US" sz="1400" b="1" i="0" u="none" strike="noStrike">
              <a:solidFill>
                <a:srgbClr val="002060"/>
              </a:solidFill>
              <a:latin typeface="Calibri"/>
              <a:cs typeface="Calibri"/>
            </a:endParaRPr>
          </a:p>
        </xdr:txBody>
      </xdr:sp>
      <xdr:sp macro="" textlink="">
        <xdr:nvSpPr>
          <xdr:cNvPr id="36" name="TextBox 35"/>
          <xdr:cNvSpPr txBox="1"/>
        </xdr:nvSpPr>
        <xdr:spPr>
          <a:xfrm>
            <a:off x="8689599" y="708535"/>
            <a:ext cx="1827655" cy="27224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Period Savings Rate</a:t>
            </a:r>
            <a:endParaRPr lang="en-IN" sz="1200" b="1"/>
          </a:p>
        </xdr:txBody>
      </xdr:sp>
      <xdr:sp macro="" textlink="">
        <xdr:nvSpPr>
          <xdr:cNvPr id="37" name="TextBox 36"/>
          <xdr:cNvSpPr txBox="1"/>
        </xdr:nvSpPr>
        <xdr:spPr>
          <a:xfrm>
            <a:off x="8730568" y="980244"/>
            <a:ext cx="1098324" cy="30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You</a:t>
            </a:r>
            <a:r>
              <a:rPr lang="en-US" sz="1100" b="1" i="0" u="none" strike="noStrike" baseline="0">
                <a:solidFill>
                  <a:srgbClr val="000000"/>
                </a:solidFill>
                <a:latin typeface="Calibri"/>
                <a:cs typeface="Calibri"/>
              </a:rPr>
              <a:t> are saving</a:t>
            </a:r>
            <a:endParaRPr lang="en-US" sz="1100" b="1" i="0" u="none" strike="noStrike">
              <a:solidFill>
                <a:srgbClr val="000000"/>
              </a:solidFill>
              <a:latin typeface="Calibri"/>
              <a:cs typeface="Calibri"/>
            </a:endParaRPr>
          </a:p>
        </xdr:txBody>
      </xdr:sp>
      <xdr:sp macro="" textlink="">
        <xdr:nvSpPr>
          <xdr:cNvPr id="43" name="TextBox 42"/>
          <xdr:cNvSpPr txBox="1"/>
        </xdr:nvSpPr>
        <xdr:spPr>
          <a:xfrm>
            <a:off x="10143444" y="980244"/>
            <a:ext cx="1096055" cy="305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cs typeface="Calibri"/>
              </a:rPr>
              <a:t>of</a:t>
            </a:r>
            <a:r>
              <a:rPr lang="en-US" sz="1100" b="1" i="0" u="none" strike="noStrike" baseline="0">
                <a:solidFill>
                  <a:srgbClr val="000000"/>
                </a:solidFill>
                <a:latin typeface="Calibri"/>
                <a:cs typeface="Calibri"/>
              </a:rPr>
              <a:t> your Income</a:t>
            </a:r>
            <a:endParaRPr lang="en-US" sz="1100" b="1" i="0" u="none" strike="noStrike">
              <a:solidFill>
                <a:srgbClr val="000000"/>
              </a:solidFill>
              <a:latin typeface="Calibri"/>
              <a:cs typeface="Calibri"/>
            </a:endParaRPr>
          </a:p>
        </xdr:txBody>
      </xdr:sp>
    </xdr:grpSp>
    <xdr:clientData/>
  </xdr:twoCellAnchor>
</xdr:wsDr>
</file>

<file path=xl/tables/table1.xml><?xml version="1.0" encoding="utf-8"?>
<table xmlns="http://schemas.openxmlformats.org/spreadsheetml/2006/main" id="1" name="income" displayName="income" ref="C9:C12" totalsRowShown="0" headerRowDxfId="113" dataDxfId="112">
  <autoFilter ref="C9:C12">
    <filterColumn colId="0" hiddenButton="1"/>
  </autoFilter>
  <tableColumns count="1">
    <tableColumn id="1" name="Income" dataDxfId="111"/>
  </tableColumns>
  <tableStyleInfo name="Income Table Style " showFirstColumn="0" showLastColumn="0" showRowStripes="1" showColumnStripes="0"/>
</table>
</file>

<file path=xl/tables/table2.xml><?xml version="1.0" encoding="utf-8"?>
<table xmlns="http://schemas.openxmlformats.org/spreadsheetml/2006/main" id="2" name="Expenses" displayName="Expenses" ref="C25:C34" totalsRowShown="0" headerRowDxfId="110" dataDxfId="109">
  <autoFilter ref="C25:C34">
    <filterColumn colId="0" hiddenButton="1"/>
  </autoFilter>
  <tableColumns count="1">
    <tableColumn id="1" name="Expenses" dataDxfId="108"/>
  </tableColumns>
  <tableStyleInfo name="Expenses Table Style  " showFirstColumn="0" showLastColumn="0" showRowStripes="1" showColumnStripes="0"/>
</table>
</file>

<file path=xl/tables/table3.xml><?xml version="1.0" encoding="utf-8"?>
<table xmlns="http://schemas.openxmlformats.org/spreadsheetml/2006/main" id="5" name="Savings" displayName="Savings" ref="C40:C45" totalsRowShown="0" headerRowDxfId="107" dataDxfId="106">
  <autoFilter ref="C40:C45">
    <filterColumn colId="0" hiddenButton="1"/>
  </autoFilter>
  <tableColumns count="1">
    <tableColumn id="1" name="Savings" dataDxfId="105"/>
  </tableColumns>
  <tableStyleInfo name="Savings Table Style  " showFirstColumn="0" showLastColumn="0" showRowStripes="1" showColumnStripes="0"/>
</table>
</file>

<file path=xl/tables/table4.xml><?xml version="1.0" encoding="utf-8"?>
<table xmlns="http://schemas.openxmlformats.org/spreadsheetml/2006/main" id="4" name="Tracking" displayName="Tracking" ref="B11:H70" totalsRowShown="0" headerRowDxfId="104" dataDxfId="103">
  <autoFilter ref="B11:H70"/>
  <sortState ref="B12:H70">
    <sortCondition ref="B11:B70"/>
  </sortState>
  <tableColumns count="7">
    <tableColumn id="1" name="Date" dataDxfId="102"/>
    <tableColumn id="2" name="Type" dataDxfId="101"/>
    <tableColumn id="3" name="Category" dataDxfId="100"/>
    <tableColumn id="4" name="Amount" dataDxfId="99" dataCellStyle="Comma"/>
    <tableColumn id="5" name="Details" dataDxfId="98"/>
    <tableColumn id="6" name="Balance" dataDxfId="97" dataCellStyle="Comma">
      <calculatedColumnFormula>SUMPRODUCT(Tracking[Amount], --(Tracking[Date]&lt;=Tracking[[#This Row],[Date]]), (Tracking[Type]&lt;&gt;"Income")*(-1) + (Tracking[Type]="Income") )</calculatedColumnFormula>
    </tableColumn>
    <tableColumn id="7" name="Effective Date" dataDxfId="96">
      <calculatedColumnFormula>IF(AND(Tracking[[#This Row],[Type]]="Income", shift_late_income_status="Active", DAY(Tracking[[#This Row],[Date]])&gt;=shift_late_income_starting_day), DATE(YEAR(Tracking[[#This Row],[Date]]), MONTH(Tracking[[#This Row],[Date]])+1, 1), Tracking[[#This Row],[Date]])</calculatedColumnFormula>
    </tableColumn>
  </tableColumns>
  <tableStyleInfo name="Tracking Table Style   "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showGridLines="0" topLeftCell="A10" zoomScale="80" zoomScaleNormal="80" workbookViewId="0">
      <selection activeCell="E28" sqref="E28"/>
    </sheetView>
  </sheetViews>
  <sheetFormatPr defaultRowHeight="15" x14ac:dyDescent="0.25"/>
  <cols>
    <col min="1" max="1" width="3.28515625" customWidth="1"/>
    <col min="2" max="2" width="3.85546875" customWidth="1"/>
    <col min="3" max="3" width="2.140625" customWidth="1"/>
    <col min="4" max="4" width="29.140625" customWidth="1"/>
    <col min="5" max="5" width="30.28515625" customWidth="1"/>
    <col min="6" max="6" width="3" customWidth="1"/>
    <col min="7" max="7" width="110.7109375" customWidth="1"/>
    <col min="8" max="8" width="1.85546875" customWidth="1"/>
  </cols>
  <sheetData>
    <row r="1" spans="1:27" ht="7.5" customHeight="1" x14ac:dyDescent="0.25">
      <c r="A1" s="2"/>
      <c r="B1" s="2"/>
      <c r="C1" s="2"/>
      <c r="D1" s="2"/>
      <c r="E1" s="2"/>
      <c r="F1" s="2"/>
      <c r="G1" s="2"/>
      <c r="H1" s="2"/>
      <c r="I1" s="2"/>
      <c r="J1" s="2"/>
      <c r="K1" s="2"/>
      <c r="L1" s="2"/>
      <c r="M1" s="2"/>
      <c r="N1" s="2"/>
      <c r="O1" s="2"/>
      <c r="P1" s="2"/>
      <c r="Q1" s="2"/>
      <c r="R1" s="2"/>
      <c r="S1" s="2"/>
      <c r="T1" s="2"/>
      <c r="U1" s="2"/>
      <c r="V1" s="2"/>
      <c r="W1" s="2"/>
      <c r="X1" s="2"/>
      <c r="Y1" s="2"/>
      <c r="Z1" s="2"/>
      <c r="AA1" s="2"/>
    </row>
    <row r="2" spans="1:27" ht="23.25" customHeight="1" x14ac:dyDescent="0.35">
      <c r="A2" s="2"/>
      <c r="B2" s="2"/>
      <c r="C2" s="3" t="s">
        <v>0</v>
      </c>
      <c r="D2" s="2"/>
      <c r="E2" s="2"/>
      <c r="F2" s="2"/>
      <c r="G2" s="2"/>
      <c r="H2" s="2"/>
      <c r="I2" s="2"/>
      <c r="J2" s="2"/>
      <c r="K2" s="2"/>
      <c r="L2" s="2"/>
      <c r="M2" s="2"/>
      <c r="N2" s="2"/>
      <c r="O2" s="2"/>
      <c r="P2" s="2"/>
      <c r="Q2" s="2"/>
      <c r="R2" s="2"/>
      <c r="S2" s="2"/>
      <c r="T2" s="2"/>
      <c r="U2" s="2"/>
      <c r="V2" s="2"/>
      <c r="W2" s="2"/>
      <c r="X2" s="2"/>
      <c r="Y2" s="2"/>
      <c r="Z2" s="2"/>
      <c r="AA2" s="2"/>
    </row>
    <row r="3" spans="1:27" ht="9" customHeight="1" x14ac:dyDescent="0.25">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5">
      <c r="A4" t="s">
        <v>5</v>
      </c>
    </row>
    <row r="6" spans="1:27" x14ac:dyDescent="0.25">
      <c r="C6" s="106" t="s">
        <v>7</v>
      </c>
      <c r="D6" s="107"/>
      <c r="E6" s="107"/>
      <c r="F6" s="107"/>
      <c r="G6" s="107"/>
      <c r="H6" s="107"/>
    </row>
    <row r="7" spans="1:27" x14ac:dyDescent="0.25">
      <c r="C7" s="8"/>
      <c r="D7" s="9"/>
      <c r="E7" s="9"/>
      <c r="F7" s="9"/>
      <c r="G7" s="9"/>
      <c r="H7" s="10"/>
    </row>
    <row r="8" spans="1:27" x14ac:dyDescent="0.25">
      <c r="C8" s="5"/>
      <c r="D8" s="14" t="s">
        <v>8</v>
      </c>
      <c r="E8" s="15">
        <v>2022</v>
      </c>
      <c r="F8" s="6"/>
      <c r="G8" s="50" t="s">
        <v>9</v>
      </c>
      <c r="H8" s="7"/>
    </row>
    <row r="9" spans="1:27" x14ac:dyDescent="0.25">
      <c r="C9" s="11"/>
      <c r="D9" s="12"/>
      <c r="E9" s="12"/>
      <c r="F9" s="12"/>
      <c r="G9" s="12"/>
      <c r="H9" s="13"/>
    </row>
    <row r="12" spans="1:27" x14ac:dyDescent="0.25">
      <c r="C12" s="106" t="s">
        <v>45</v>
      </c>
      <c r="D12" s="107"/>
      <c r="E12" s="107"/>
      <c r="F12" s="107"/>
      <c r="G12" s="107"/>
      <c r="H12" s="107"/>
    </row>
    <row r="13" spans="1:27" x14ac:dyDescent="0.25">
      <c r="C13" s="8"/>
      <c r="D13" s="9"/>
      <c r="E13" s="9"/>
      <c r="F13" s="9"/>
      <c r="G13" s="9"/>
      <c r="H13" s="10"/>
    </row>
    <row r="14" spans="1:27" x14ac:dyDescent="0.25">
      <c r="C14" s="5"/>
      <c r="D14" s="43" t="s">
        <v>46</v>
      </c>
      <c r="E14" s="6"/>
      <c r="F14" s="6"/>
      <c r="G14" s="6"/>
      <c r="H14" s="7"/>
    </row>
    <row r="15" spans="1:27" x14ac:dyDescent="0.25">
      <c r="C15" s="5"/>
      <c r="D15" s="6"/>
      <c r="E15" s="6"/>
      <c r="F15" s="6"/>
      <c r="G15" s="6"/>
      <c r="H15" s="7"/>
    </row>
    <row r="16" spans="1:27" ht="15.75" customHeight="1" x14ac:dyDescent="0.25">
      <c r="C16" s="5"/>
      <c r="D16" s="44" t="s">
        <v>47</v>
      </c>
      <c r="E16" s="15" t="s">
        <v>50</v>
      </c>
      <c r="F16" s="6"/>
      <c r="G16" s="108" t="s">
        <v>49</v>
      </c>
      <c r="H16" s="7"/>
    </row>
    <row r="17" spans="3:8" ht="6.75" customHeight="1" x14ac:dyDescent="0.25">
      <c r="C17" s="45"/>
      <c r="D17" s="6"/>
      <c r="E17" s="6"/>
      <c r="F17" s="6"/>
      <c r="G17" s="108"/>
      <c r="H17" s="46"/>
    </row>
    <row r="18" spans="3:8" x14ac:dyDescent="0.25">
      <c r="C18" s="45"/>
      <c r="D18" s="44" t="s">
        <v>48</v>
      </c>
      <c r="E18" s="15">
        <v>20</v>
      </c>
      <c r="F18" s="6"/>
      <c r="G18" s="108"/>
      <c r="H18" s="46"/>
    </row>
    <row r="19" spans="3:8" ht="15" customHeight="1" x14ac:dyDescent="0.25">
      <c r="C19" s="45"/>
      <c r="D19" s="6"/>
      <c r="E19" s="6"/>
      <c r="F19" s="6"/>
      <c r="G19" s="6"/>
      <c r="H19" s="46"/>
    </row>
    <row r="20" spans="3:8" x14ac:dyDescent="0.25">
      <c r="C20" s="45"/>
      <c r="D20" s="43" t="s">
        <v>115</v>
      </c>
      <c r="E20" s="6"/>
      <c r="F20" s="6"/>
      <c r="G20" s="6"/>
      <c r="H20" s="46"/>
    </row>
    <row r="21" spans="3:8" x14ac:dyDescent="0.25">
      <c r="C21" s="45"/>
      <c r="D21" s="6"/>
      <c r="E21" s="6"/>
      <c r="F21" s="6"/>
      <c r="G21" s="6"/>
      <c r="H21" s="46"/>
    </row>
    <row r="22" spans="3:8" x14ac:dyDescent="0.25">
      <c r="C22" s="45"/>
      <c r="D22" s="44" t="s">
        <v>116</v>
      </c>
      <c r="E22" s="15" t="s">
        <v>117</v>
      </c>
      <c r="F22" s="6"/>
      <c r="G22" s="124" t="s">
        <v>120</v>
      </c>
      <c r="H22" s="46"/>
    </row>
    <row r="23" spans="3:8" x14ac:dyDescent="0.25">
      <c r="C23" s="5"/>
      <c r="D23" s="6"/>
      <c r="E23" s="6"/>
      <c r="F23" s="6"/>
      <c r="G23" s="124" t="s">
        <v>119</v>
      </c>
      <c r="H23" s="7"/>
    </row>
    <row r="24" spans="3:8" x14ac:dyDescent="0.25">
      <c r="C24" s="5"/>
      <c r="D24" s="6"/>
      <c r="E24" s="6"/>
      <c r="F24" s="6"/>
      <c r="G24" s="124" t="s">
        <v>118</v>
      </c>
      <c r="H24" s="7"/>
    </row>
    <row r="25" spans="3:8" x14ac:dyDescent="0.25">
      <c r="C25" s="5"/>
      <c r="D25" s="6"/>
      <c r="E25" s="6"/>
      <c r="F25" s="6"/>
      <c r="G25" s="125"/>
      <c r="H25" s="7"/>
    </row>
    <row r="26" spans="3:8" x14ac:dyDescent="0.25">
      <c r="C26" s="11"/>
      <c r="D26" s="12"/>
      <c r="E26" s="12"/>
      <c r="F26" s="12"/>
      <c r="G26" s="12"/>
      <c r="H26" s="13"/>
    </row>
  </sheetData>
  <mergeCells count="3">
    <mergeCell ref="C6:H6"/>
    <mergeCell ref="C12:H12"/>
    <mergeCell ref="G16:G18"/>
  </mergeCells>
  <conditionalFormatting sqref="E18">
    <cfRule type="expression" dxfId="95" priority="1">
      <formula>shift_late_income_status ="Inactive"</formula>
    </cfRule>
  </conditionalFormatting>
  <dataValidations count="2">
    <dataValidation type="list" allowBlank="1" showInputMessage="1" showErrorMessage="1" sqref="E16">
      <formula1>"Active, Inactive"</formula1>
    </dataValidation>
    <dataValidation type="list" allowBlank="1" showInputMessage="1" showErrorMessage="1" sqref="E22">
      <formula1>"% allocated to Savings, % not allocated to Expenses"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A52"/>
  <sheetViews>
    <sheetView showGridLines="0" zoomScale="80" zoomScaleNormal="80" workbookViewId="0">
      <pane xSplit="4" topLeftCell="E1" activePane="topRight" state="frozen"/>
      <selection pane="topRight" activeCell="FD5" sqref="FD5"/>
    </sheetView>
  </sheetViews>
  <sheetFormatPr defaultRowHeight="15" outlineLevelCol="1" x14ac:dyDescent="0.25"/>
  <cols>
    <col min="1" max="1" width="3.28515625" customWidth="1"/>
    <col min="2" max="2" width="3.85546875" customWidth="1"/>
    <col min="3" max="3" width="33.7109375" customWidth="1"/>
    <col min="4" max="4" width="2" customWidth="1"/>
    <col min="5" max="16" width="10.85546875" customWidth="1" outlineLevel="1"/>
    <col min="17" max="17" width="10.85546875" bestFit="1" customWidth="1"/>
    <col min="18" max="18" width="2.5703125" customWidth="1"/>
    <col min="19" max="30" width="10.85546875" hidden="1" customWidth="1" outlineLevel="1"/>
    <col min="31" max="31" width="10.85546875" bestFit="1" customWidth="1" collapsed="1"/>
    <col min="32" max="32" width="2.5703125" customWidth="1"/>
    <col min="33" max="44" width="10.85546875" hidden="1" customWidth="1" outlineLevel="1"/>
    <col min="45" max="45" width="10.85546875" bestFit="1" customWidth="1" collapsed="1"/>
    <col min="46" max="46" width="2.5703125" customWidth="1"/>
    <col min="47" max="58" width="10.85546875" hidden="1" customWidth="1" outlineLevel="1"/>
    <col min="59" max="59" width="10.85546875" bestFit="1" customWidth="1" collapsed="1"/>
    <col min="60" max="60" width="2.5703125" customWidth="1"/>
    <col min="61" max="72" width="10.85546875" hidden="1" customWidth="1" outlineLevel="1"/>
    <col min="73" max="73" width="10.85546875" bestFit="1" customWidth="1" collapsed="1"/>
    <col min="74" max="74" width="2.5703125" customWidth="1"/>
    <col min="75" max="86" width="10.85546875" hidden="1" customWidth="1" outlineLevel="1"/>
    <col min="87" max="87" width="10.85546875" bestFit="1" customWidth="1" collapsed="1"/>
    <col min="88" max="88" width="2.5703125" customWidth="1"/>
    <col min="89" max="100" width="10.85546875" hidden="1" customWidth="1" outlineLevel="1"/>
    <col min="101" max="101" width="10.85546875" bestFit="1" customWidth="1" collapsed="1"/>
    <col min="102" max="102" width="2.5703125" customWidth="1"/>
    <col min="103" max="114" width="10.85546875" hidden="1" customWidth="1" outlineLevel="1"/>
    <col min="115" max="115" width="10.85546875" bestFit="1" customWidth="1" collapsed="1"/>
    <col min="116" max="116" width="2.5703125" customWidth="1"/>
    <col min="117" max="128" width="10.85546875" hidden="1" customWidth="1" outlineLevel="1"/>
    <col min="129" max="129" width="10.85546875" bestFit="1" customWidth="1" collapsed="1"/>
    <col min="130" max="130" width="2.5703125" customWidth="1"/>
    <col min="131" max="142" width="10.85546875" hidden="1" customWidth="1" outlineLevel="1"/>
    <col min="143" max="143" width="10.85546875" bestFit="1" customWidth="1" collapsed="1"/>
    <col min="144" max="144" width="2.5703125" customWidth="1"/>
    <col min="145" max="156" width="10.85546875" hidden="1" customWidth="1" outlineLevel="1"/>
    <col min="157" max="157" width="10.85546875" bestFit="1" customWidth="1" collapsed="1"/>
  </cols>
  <sheetData>
    <row r="1" spans="1:157" ht="7.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row>
    <row r="2" spans="1:157" ht="21" x14ac:dyDescent="0.35">
      <c r="A2" s="2"/>
      <c r="B2" s="2"/>
      <c r="C2" s="4" t="s">
        <v>1</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row>
    <row r="3" spans="1:157" ht="9"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35"/>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row>
    <row r="5" spans="1:157" ht="25.5" customHeight="1" x14ac:dyDescent="0.25">
      <c r="C5" s="16" t="s">
        <v>10</v>
      </c>
      <c r="E5" s="109">
        <f xml:space="preserve"> starting_year</f>
        <v>2022</v>
      </c>
      <c r="F5" s="109"/>
      <c r="G5" s="109"/>
      <c r="H5" s="109"/>
      <c r="I5" s="109"/>
      <c r="J5" s="109"/>
      <c r="K5" s="109"/>
      <c r="L5" s="109"/>
      <c r="M5" s="109"/>
      <c r="N5" s="109"/>
      <c r="O5" s="109"/>
      <c r="P5" s="109"/>
      <c r="Q5" s="109"/>
      <c r="S5" s="109">
        <f xml:space="preserve"> E5+1</f>
        <v>2023</v>
      </c>
      <c r="T5" s="109"/>
      <c r="U5" s="109"/>
      <c r="V5" s="109"/>
      <c r="W5" s="109"/>
      <c r="X5" s="109"/>
      <c r="Y5" s="109"/>
      <c r="Z5" s="109"/>
      <c r="AA5" s="109"/>
      <c r="AB5" s="109"/>
      <c r="AC5" s="109"/>
      <c r="AD5" s="109"/>
      <c r="AE5" s="109"/>
      <c r="AG5" s="109">
        <f xml:space="preserve"> S5+1</f>
        <v>2024</v>
      </c>
      <c r="AH5" s="109"/>
      <c r="AI5" s="109"/>
      <c r="AJ5" s="109"/>
      <c r="AK5" s="109"/>
      <c r="AL5" s="109"/>
      <c r="AM5" s="109"/>
      <c r="AN5" s="109"/>
      <c r="AO5" s="109"/>
      <c r="AP5" s="109"/>
      <c r="AQ5" s="109"/>
      <c r="AR5" s="109"/>
      <c r="AS5" s="109"/>
      <c r="AU5" s="109">
        <f xml:space="preserve"> AG5+1</f>
        <v>2025</v>
      </c>
      <c r="AV5" s="109"/>
      <c r="AW5" s="109"/>
      <c r="AX5" s="109"/>
      <c r="AY5" s="109"/>
      <c r="AZ5" s="109"/>
      <c r="BA5" s="109"/>
      <c r="BB5" s="109"/>
      <c r="BC5" s="109"/>
      <c r="BD5" s="109"/>
      <c r="BE5" s="109"/>
      <c r="BF5" s="109"/>
      <c r="BG5" s="109"/>
      <c r="BI5" s="109">
        <f xml:space="preserve"> AU5+1</f>
        <v>2026</v>
      </c>
      <c r="BJ5" s="109"/>
      <c r="BK5" s="109"/>
      <c r="BL5" s="109"/>
      <c r="BM5" s="109"/>
      <c r="BN5" s="109"/>
      <c r="BO5" s="109"/>
      <c r="BP5" s="109"/>
      <c r="BQ5" s="109"/>
      <c r="BR5" s="109"/>
      <c r="BS5" s="109"/>
      <c r="BT5" s="109"/>
      <c r="BU5" s="109"/>
      <c r="BW5" s="109">
        <f xml:space="preserve"> BI5+1</f>
        <v>2027</v>
      </c>
      <c r="BX5" s="109"/>
      <c r="BY5" s="109"/>
      <c r="BZ5" s="109"/>
      <c r="CA5" s="109"/>
      <c r="CB5" s="109"/>
      <c r="CC5" s="109"/>
      <c r="CD5" s="109"/>
      <c r="CE5" s="109"/>
      <c r="CF5" s="109"/>
      <c r="CG5" s="109"/>
      <c r="CH5" s="109"/>
      <c r="CI5" s="109"/>
      <c r="CK5" s="109">
        <f xml:space="preserve"> BW5+1</f>
        <v>2028</v>
      </c>
      <c r="CL5" s="109"/>
      <c r="CM5" s="109"/>
      <c r="CN5" s="109"/>
      <c r="CO5" s="109"/>
      <c r="CP5" s="109"/>
      <c r="CQ5" s="109"/>
      <c r="CR5" s="109"/>
      <c r="CS5" s="109"/>
      <c r="CT5" s="109"/>
      <c r="CU5" s="109"/>
      <c r="CV5" s="109"/>
      <c r="CW5" s="109"/>
      <c r="CY5" s="109">
        <f xml:space="preserve"> CK5+1</f>
        <v>2029</v>
      </c>
      <c r="CZ5" s="109"/>
      <c r="DA5" s="109"/>
      <c r="DB5" s="109"/>
      <c r="DC5" s="109"/>
      <c r="DD5" s="109"/>
      <c r="DE5" s="109"/>
      <c r="DF5" s="109"/>
      <c r="DG5" s="109"/>
      <c r="DH5" s="109"/>
      <c r="DI5" s="109"/>
      <c r="DJ5" s="109"/>
      <c r="DK5" s="109"/>
      <c r="DM5" s="109">
        <f xml:space="preserve"> CY5+1</f>
        <v>2030</v>
      </c>
      <c r="DN5" s="109"/>
      <c r="DO5" s="109"/>
      <c r="DP5" s="109"/>
      <c r="DQ5" s="109"/>
      <c r="DR5" s="109"/>
      <c r="DS5" s="109"/>
      <c r="DT5" s="109"/>
      <c r="DU5" s="109"/>
      <c r="DV5" s="109"/>
      <c r="DW5" s="109"/>
      <c r="DX5" s="109"/>
      <c r="DY5" s="109"/>
      <c r="EA5" s="109">
        <f xml:space="preserve"> DM5+1</f>
        <v>2031</v>
      </c>
      <c r="EB5" s="109"/>
      <c r="EC5" s="109"/>
      <c r="ED5" s="109"/>
      <c r="EE5" s="109"/>
      <c r="EF5" s="109"/>
      <c r="EG5" s="109"/>
      <c r="EH5" s="109"/>
      <c r="EI5" s="109"/>
      <c r="EJ5" s="109"/>
      <c r="EK5" s="109"/>
      <c r="EL5" s="109"/>
      <c r="EM5" s="109"/>
      <c r="EO5" s="109">
        <f xml:space="preserve"> EA5+1</f>
        <v>2032</v>
      </c>
      <c r="EP5" s="109"/>
      <c r="EQ5" s="109"/>
      <c r="ER5" s="109"/>
      <c r="ES5" s="109"/>
      <c r="ET5" s="109"/>
      <c r="EU5" s="109"/>
      <c r="EV5" s="109"/>
      <c r="EW5" s="109"/>
      <c r="EX5" s="109"/>
      <c r="EY5" s="109"/>
      <c r="EZ5" s="109"/>
      <c r="FA5" s="109"/>
    </row>
    <row r="6" spans="1:157" x14ac:dyDescent="0.25">
      <c r="E6" s="33" t="str">
        <f ca="1">IF(E7=0,"Jan ✓","Jan")</f>
        <v>Jan ✓</v>
      </c>
      <c r="F6" s="33" t="str">
        <f ca="1">IF(F7=0,"Feb ✓","Feb")</f>
        <v>Feb ✓</v>
      </c>
      <c r="G6" s="33" t="str">
        <f ca="1">IF(G7=0,"Mar ✓","Mar")</f>
        <v>Mar ✓</v>
      </c>
      <c r="H6" s="33" t="str">
        <f ca="1">IF(H7=0,"Apr ✓","Apr")</f>
        <v>Apr ✓</v>
      </c>
      <c r="I6" s="33" t="str">
        <f ca="1">IF(I7=0,"May ✓","May")</f>
        <v>May ✓</v>
      </c>
      <c r="J6" s="33" t="str">
        <f ca="1">IF(J7=0,"Jun ✓","Jun")</f>
        <v>Jun ✓</v>
      </c>
      <c r="K6" s="33" t="str">
        <f ca="1">IF(K7=0,"Jul ✓","Jul")</f>
        <v>Jul ✓</v>
      </c>
      <c r="L6" s="33" t="str">
        <f ca="1">IF(L7=0,"Aug ✓","Aug")</f>
        <v>Aug ✓</v>
      </c>
      <c r="M6" s="33" t="str">
        <f ca="1">IF(M7=0,"Sep ✓","Sep")</f>
        <v>Sep ✓</v>
      </c>
      <c r="N6" s="33" t="str">
        <f ca="1">IF(N7=0,"Oct ✓","Oct")</f>
        <v>Oct ✓</v>
      </c>
      <c r="O6" s="33" t="str">
        <f ca="1">IF(O7=0,"Nov ✓","Nov")</f>
        <v>Nov ✓</v>
      </c>
      <c r="P6" s="33" t="str">
        <f ca="1">IF(P7=0,"Dec ✓","Dec")</f>
        <v>Dec ✓</v>
      </c>
      <c r="Q6" s="33" t="str">
        <f ca="1">IF(Q7=0,"Total ✓","Total")</f>
        <v>Total ✓</v>
      </c>
      <c r="S6" s="33" t="str">
        <f ca="1">IF(S7=0,"Jan ✓","Jan")</f>
        <v>Jan ✓</v>
      </c>
      <c r="T6" s="33" t="str">
        <f ca="1">IF(T7=0,"Feb ✓","Feb")</f>
        <v>Feb ✓</v>
      </c>
      <c r="U6" s="33" t="str">
        <f ca="1">IF(U7=0,"Mar ✓","Mar")</f>
        <v>Mar ✓</v>
      </c>
      <c r="V6" s="33" t="str">
        <f ca="1">IF(V7=0,"Apr ✓","Apr")</f>
        <v>Apr ✓</v>
      </c>
      <c r="W6" s="33" t="str">
        <f ca="1">IF(W7=0,"May ✓","May")</f>
        <v>May ✓</v>
      </c>
      <c r="X6" s="33" t="str">
        <f ca="1">IF(X7=0,"Jun ✓","Jun")</f>
        <v>Jun ✓</v>
      </c>
      <c r="Y6" s="33" t="str">
        <f ca="1">IF(Y7=0,"Jul ✓","Jul")</f>
        <v>Jul ✓</v>
      </c>
      <c r="Z6" s="33" t="str">
        <f ca="1">IF(Z7=0,"Aug ✓","Aug")</f>
        <v>Aug ✓</v>
      </c>
      <c r="AA6" s="33" t="str">
        <f ca="1">IF(AA7=0,"Sep ✓","Sep")</f>
        <v>Sep ✓</v>
      </c>
      <c r="AB6" s="33" t="str">
        <f ca="1">IF(AB7=0,"Oct ✓","Oct")</f>
        <v>Oct ✓</v>
      </c>
      <c r="AC6" s="33" t="str">
        <f ca="1">IF(AC7=0,"Nov ✓","Nov")</f>
        <v>Nov ✓</v>
      </c>
      <c r="AD6" s="33" t="str">
        <f ca="1">IF(AD7=0,"Dec ✓","Dec")</f>
        <v>Dec ✓</v>
      </c>
      <c r="AE6" s="33" t="str">
        <f ca="1">IF(AE7=0,"Total ✓","Total")</f>
        <v>Total ✓</v>
      </c>
      <c r="AG6" s="33" t="str">
        <f ca="1">IF(AG7=0,"Jan ✓","Jan")</f>
        <v>Jan ✓</v>
      </c>
      <c r="AH6" s="33" t="str">
        <f ca="1">IF(AH7=0,"Feb ✓","Feb")</f>
        <v>Feb ✓</v>
      </c>
      <c r="AI6" s="33" t="str">
        <f ca="1">IF(AI7=0,"Mar ✓","Mar")</f>
        <v>Mar ✓</v>
      </c>
      <c r="AJ6" s="33" t="str">
        <f ca="1">IF(AJ7=0,"Apr ✓","Apr")</f>
        <v>Apr ✓</v>
      </c>
      <c r="AK6" s="33" t="str">
        <f ca="1">IF(AK7=0,"May ✓","May")</f>
        <v>May ✓</v>
      </c>
      <c r="AL6" s="33" t="str">
        <f ca="1">IF(AL7=0,"Jun ✓","Jun")</f>
        <v>Jun ✓</v>
      </c>
      <c r="AM6" s="33" t="str">
        <f ca="1">IF(AM7=0,"Jul ✓","Jul")</f>
        <v>Jul ✓</v>
      </c>
      <c r="AN6" s="33" t="str">
        <f ca="1">IF(AN7=0,"Aug ✓","Aug")</f>
        <v>Aug ✓</v>
      </c>
      <c r="AO6" s="33" t="str">
        <f ca="1">IF(AO7=0,"Sep ✓","Sep")</f>
        <v>Sep ✓</v>
      </c>
      <c r="AP6" s="33" t="str">
        <f ca="1">IF(AP7=0,"Oct ✓","Oct")</f>
        <v>Oct ✓</v>
      </c>
      <c r="AQ6" s="33" t="str">
        <f ca="1">IF(AQ7=0,"Nov ✓","Nov")</f>
        <v>Nov ✓</v>
      </c>
      <c r="AR6" s="33" t="str">
        <f ca="1">IF(AR7=0,"Dec ✓","Dec")</f>
        <v>Dec ✓</v>
      </c>
      <c r="AS6" s="33" t="str">
        <f ca="1">IF(AS7=0,"Total ✓","Total")</f>
        <v>Total ✓</v>
      </c>
      <c r="AU6" s="33" t="str">
        <f ca="1">IF(AU7=0,"Jan ✓","Jan")</f>
        <v>Jan ✓</v>
      </c>
      <c r="AV6" s="33" t="str">
        <f ca="1">IF(AV7=0,"Feb ✓","Feb")</f>
        <v>Feb ✓</v>
      </c>
      <c r="AW6" s="33" t="str">
        <f ca="1">IF(AW7=0,"Mar ✓","Mar")</f>
        <v>Mar ✓</v>
      </c>
      <c r="AX6" s="33" t="str">
        <f ca="1">IF(AX7=0,"Apr ✓","Apr")</f>
        <v>Apr ✓</v>
      </c>
      <c r="AY6" s="33" t="str">
        <f ca="1">IF(AY7=0,"May ✓","May")</f>
        <v>May ✓</v>
      </c>
      <c r="AZ6" s="33" t="str">
        <f ca="1">IF(AZ7=0,"Jun ✓","Jun")</f>
        <v>Jun ✓</v>
      </c>
      <c r="BA6" s="33" t="str">
        <f ca="1">IF(BA7=0,"Jul ✓","Jul")</f>
        <v>Jul ✓</v>
      </c>
      <c r="BB6" s="33" t="str">
        <f ca="1">IF(BB7=0,"Aug ✓","Aug")</f>
        <v>Aug ✓</v>
      </c>
      <c r="BC6" s="33" t="str">
        <f ca="1">IF(BC7=0,"Sep ✓","Sep")</f>
        <v>Sep ✓</v>
      </c>
      <c r="BD6" s="33" t="str">
        <f ca="1">IF(BD7=0,"Oct ✓","Oct")</f>
        <v>Oct ✓</v>
      </c>
      <c r="BE6" s="33" t="str">
        <f ca="1">IF(BE7=0,"Nov ✓","Nov")</f>
        <v>Nov ✓</v>
      </c>
      <c r="BF6" s="33" t="str">
        <f ca="1">IF(BF7=0,"Dec ✓","Dec")</f>
        <v>Dec ✓</v>
      </c>
      <c r="BG6" s="33" t="str">
        <f ca="1">IF(BG7=0,"Total ✓","Total")</f>
        <v>Total ✓</v>
      </c>
      <c r="BI6" s="33" t="str">
        <f ca="1">IF(BI7=0,"Jan ✓","Jan")</f>
        <v>Jan ✓</v>
      </c>
      <c r="BJ6" s="33" t="str">
        <f ca="1">IF(BJ7=0,"Feb ✓","Feb")</f>
        <v>Feb ✓</v>
      </c>
      <c r="BK6" s="33" t="str">
        <f ca="1">IF(BK7=0,"Mar ✓","Mar")</f>
        <v>Mar ✓</v>
      </c>
      <c r="BL6" s="33" t="str">
        <f ca="1">IF(BL7=0,"Apr ✓","Apr")</f>
        <v>Apr ✓</v>
      </c>
      <c r="BM6" s="33" t="str">
        <f ca="1">IF(BM7=0,"May ✓","May")</f>
        <v>May ✓</v>
      </c>
      <c r="BN6" s="33" t="str">
        <f ca="1">IF(BN7=0,"Jun ✓","Jun")</f>
        <v>Jun ✓</v>
      </c>
      <c r="BO6" s="33" t="str">
        <f ca="1">IF(BO7=0,"Jul ✓","Jul")</f>
        <v>Jul ✓</v>
      </c>
      <c r="BP6" s="33" t="str">
        <f ca="1">IF(BP7=0,"Aug ✓","Aug")</f>
        <v>Aug ✓</v>
      </c>
      <c r="BQ6" s="33" t="str">
        <f ca="1">IF(BQ7=0,"Sep ✓","Sep")</f>
        <v>Sep ✓</v>
      </c>
      <c r="BR6" s="33" t="str">
        <f ca="1">IF(BR7=0,"Oct ✓","Oct")</f>
        <v>Oct ✓</v>
      </c>
      <c r="BS6" s="33" t="str">
        <f ca="1">IF(BS7=0,"Nov ✓","Nov")</f>
        <v>Nov ✓</v>
      </c>
      <c r="BT6" s="33" t="str">
        <f ca="1">IF(BT7=0,"Dec ✓","Dec")</f>
        <v>Dec ✓</v>
      </c>
      <c r="BU6" s="33" t="str">
        <f ca="1">IF(BU7=0,"Total ✓","Total")</f>
        <v>Total ✓</v>
      </c>
      <c r="BW6" s="33" t="str">
        <f ca="1">IF(BW7=0,"Jan ✓","Jan")</f>
        <v>Jan ✓</v>
      </c>
      <c r="BX6" s="33" t="str">
        <f ca="1">IF(BX7=0,"Feb ✓","Feb")</f>
        <v>Feb ✓</v>
      </c>
      <c r="BY6" s="33" t="str">
        <f ca="1">IF(BY7=0,"Mar ✓","Mar")</f>
        <v>Mar ✓</v>
      </c>
      <c r="BZ6" s="33" t="str">
        <f ca="1">IF(BZ7=0,"Apr ✓","Apr")</f>
        <v>Apr ✓</v>
      </c>
      <c r="CA6" s="33" t="str">
        <f ca="1">IF(CA7=0,"May ✓","May")</f>
        <v>May ✓</v>
      </c>
      <c r="CB6" s="33" t="str">
        <f ca="1">IF(CB7=0,"Jun ✓","Jun")</f>
        <v>Jun ✓</v>
      </c>
      <c r="CC6" s="33" t="str">
        <f ca="1">IF(CC7=0,"Jul ✓","Jul")</f>
        <v>Jul ✓</v>
      </c>
      <c r="CD6" s="33" t="str">
        <f ca="1">IF(CD7=0,"Aug ✓","Aug")</f>
        <v>Aug ✓</v>
      </c>
      <c r="CE6" s="33" t="str">
        <f ca="1">IF(CE7=0,"Sep ✓","Sep")</f>
        <v>Sep ✓</v>
      </c>
      <c r="CF6" s="33" t="str">
        <f ca="1">IF(CF7=0,"Oct ✓","Oct")</f>
        <v>Oct ✓</v>
      </c>
      <c r="CG6" s="33" t="str">
        <f ca="1">IF(CG7=0,"Nov ✓","Nov")</f>
        <v>Nov ✓</v>
      </c>
      <c r="CH6" s="33" t="str">
        <f ca="1">IF(CH7=0,"Dec ✓","Dec")</f>
        <v>Dec ✓</v>
      </c>
      <c r="CI6" s="33" t="str">
        <f ca="1">IF(CI7=0,"Total ✓","Total")</f>
        <v>Total ✓</v>
      </c>
      <c r="CK6" s="33" t="str">
        <f ca="1">IF(CK7=0,"Jan ✓","Jan")</f>
        <v>Jan ✓</v>
      </c>
      <c r="CL6" s="33" t="str">
        <f ca="1">IF(CL7=0,"Feb ✓","Feb")</f>
        <v>Feb ✓</v>
      </c>
      <c r="CM6" s="33" t="str">
        <f ca="1">IF(CM7=0,"Mar ✓","Mar")</f>
        <v>Mar ✓</v>
      </c>
      <c r="CN6" s="33" t="str">
        <f ca="1">IF(CN7=0,"Apr ✓","Apr")</f>
        <v>Apr ✓</v>
      </c>
      <c r="CO6" s="33" t="str">
        <f ca="1">IF(CO7=0,"May ✓","May")</f>
        <v>May ✓</v>
      </c>
      <c r="CP6" s="33" t="str">
        <f ca="1">IF(CP7=0,"Jun ✓","Jun")</f>
        <v>Jun ✓</v>
      </c>
      <c r="CQ6" s="33" t="str">
        <f ca="1">IF(CQ7=0,"Jul ✓","Jul")</f>
        <v>Jul ✓</v>
      </c>
      <c r="CR6" s="33" t="str">
        <f ca="1">IF(CR7=0,"Aug ✓","Aug")</f>
        <v>Aug ✓</v>
      </c>
      <c r="CS6" s="33" t="str">
        <f ca="1">IF(CS7=0,"Sep ✓","Sep")</f>
        <v>Sep ✓</v>
      </c>
      <c r="CT6" s="33" t="str">
        <f ca="1">IF(CT7=0,"Oct ✓","Oct")</f>
        <v>Oct ✓</v>
      </c>
      <c r="CU6" s="33" t="str">
        <f ca="1">IF(CU7=0,"Nov ✓","Nov")</f>
        <v>Nov ✓</v>
      </c>
      <c r="CV6" s="33" t="str">
        <f ca="1">IF(CV7=0,"Dec ✓","Dec")</f>
        <v>Dec ✓</v>
      </c>
      <c r="CW6" s="33" t="str">
        <f ca="1">IF(CW7=0,"Total ✓","Total")</f>
        <v>Total ✓</v>
      </c>
      <c r="CY6" s="33" t="str">
        <f ca="1">IF(CY7=0,"Jan ✓","Jan")</f>
        <v>Jan ✓</v>
      </c>
      <c r="CZ6" s="33" t="str">
        <f ca="1">IF(CZ7=0,"Feb ✓","Feb")</f>
        <v>Feb ✓</v>
      </c>
      <c r="DA6" s="33" t="str">
        <f ca="1">IF(DA7=0,"Mar ✓","Mar")</f>
        <v>Mar ✓</v>
      </c>
      <c r="DB6" s="33" t="str">
        <f ca="1">IF(DB7=0,"Apr ✓","Apr")</f>
        <v>Apr ✓</v>
      </c>
      <c r="DC6" s="33" t="str">
        <f ca="1">IF(DC7=0,"May ✓","May")</f>
        <v>May ✓</v>
      </c>
      <c r="DD6" s="33" t="str">
        <f ca="1">IF(DD7=0,"Jun ✓","Jun")</f>
        <v>Jun ✓</v>
      </c>
      <c r="DE6" s="33" t="str">
        <f ca="1">IF(DE7=0,"Jul ✓","Jul")</f>
        <v>Jul ✓</v>
      </c>
      <c r="DF6" s="33" t="str">
        <f ca="1">IF(DF7=0,"Aug ✓","Aug")</f>
        <v>Aug ✓</v>
      </c>
      <c r="DG6" s="33" t="str">
        <f ca="1">IF(DG7=0,"Sep ✓","Sep")</f>
        <v>Sep ✓</v>
      </c>
      <c r="DH6" s="33" t="str">
        <f ca="1">IF(DH7=0,"Oct ✓","Oct")</f>
        <v>Oct ✓</v>
      </c>
      <c r="DI6" s="33" t="str">
        <f ca="1">IF(DI7=0,"Nov ✓","Nov")</f>
        <v>Nov ✓</v>
      </c>
      <c r="DJ6" s="33" t="str">
        <f ca="1">IF(DJ7=0,"Dec ✓","Dec")</f>
        <v>Dec ✓</v>
      </c>
      <c r="DK6" s="33" t="str">
        <f ca="1">IF(DK7=0,"Total ✓","Total")</f>
        <v>Total ✓</v>
      </c>
      <c r="DM6" s="33" t="str">
        <f ca="1">IF(DM7=0,"Jan ✓","Jan")</f>
        <v>Jan ✓</v>
      </c>
      <c r="DN6" s="33" t="str">
        <f ca="1">IF(DN7=0,"Feb ✓","Feb")</f>
        <v>Feb ✓</v>
      </c>
      <c r="DO6" s="33" t="str">
        <f ca="1">IF(DO7=0,"Mar ✓","Mar")</f>
        <v>Mar ✓</v>
      </c>
      <c r="DP6" s="33" t="str">
        <f ca="1">IF(DP7=0,"Apr ✓","Apr")</f>
        <v>Apr ✓</v>
      </c>
      <c r="DQ6" s="33" t="str">
        <f ca="1">IF(DQ7=0,"May ✓","May")</f>
        <v>May ✓</v>
      </c>
      <c r="DR6" s="33" t="str">
        <f ca="1">IF(DR7=0,"Jun ✓","Jun")</f>
        <v>Jun ✓</v>
      </c>
      <c r="DS6" s="33" t="str">
        <f ca="1">IF(DS7=0,"Jul ✓","Jul")</f>
        <v>Jul ✓</v>
      </c>
      <c r="DT6" s="33" t="str">
        <f ca="1">IF(DT7=0,"Aug ✓","Aug")</f>
        <v>Aug ✓</v>
      </c>
      <c r="DU6" s="33" t="str">
        <f ca="1">IF(DU7=0,"Sep ✓","Sep")</f>
        <v>Sep ✓</v>
      </c>
      <c r="DV6" s="33" t="str">
        <f ca="1">IF(DV7=0,"Oct ✓","Oct")</f>
        <v>Oct ✓</v>
      </c>
      <c r="DW6" s="33" t="str">
        <f ca="1">IF(DW7=0,"Nov ✓","Nov")</f>
        <v>Nov ✓</v>
      </c>
      <c r="DX6" s="33" t="str">
        <f ca="1">IF(DX7=0,"Dec ✓","Dec")</f>
        <v>Dec ✓</v>
      </c>
      <c r="DY6" s="33" t="str">
        <f ca="1">IF(DY7=0,"Total ✓","Total")</f>
        <v>Total ✓</v>
      </c>
      <c r="EA6" s="33" t="str">
        <f ca="1">IF(EA7=0,"Jan ✓","Jan")</f>
        <v>Jan ✓</v>
      </c>
      <c r="EB6" s="33" t="str">
        <f ca="1">IF(EB7=0,"Feb ✓","Feb")</f>
        <v>Feb ✓</v>
      </c>
      <c r="EC6" s="33" t="str">
        <f ca="1">IF(EC7=0,"Mar ✓","Mar")</f>
        <v>Mar ✓</v>
      </c>
      <c r="ED6" s="33" t="str">
        <f ca="1">IF(ED7=0,"Apr ✓","Apr")</f>
        <v>Apr ✓</v>
      </c>
      <c r="EE6" s="33" t="str">
        <f ca="1">IF(EE7=0,"May ✓","May")</f>
        <v>May ✓</v>
      </c>
      <c r="EF6" s="33" t="str">
        <f ca="1">IF(EF7=0,"Jun ✓","Jun")</f>
        <v>Jun ✓</v>
      </c>
      <c r="EG6" s="33" t="str">
        <f ca="1">IF(EG7=0,"Jul ✓","Jul")</f>
        <v>Jul ✓</v>
      </c>
      <c r="EH6" s="33" t="str">
        <f ca="1">IF(EH7=0,"Aug ✓","Aug")</f>
        <v>Aug ✓</v>
      </c>
      <c r="EI6" s="33" t="str">
        <f ca="1">IF(EI7=0,"Sep ✓","Sep")</f>
        <v>Sep ✓</v>
      </c>
      <c r="EJ6" s="33" t="str">
        <f ca="1">IF(EJ7=0,"Oct ✓","Oct")</f>
        <v>Oct ✓</v>
      </c>
      <c r="EK6" s="33" t="str">
        <f ca="1">IF(EK7=0,"Nov ✓","Nov")</f>
        <v>Nov ✓</v>
      </c>
      <c r="EL6" s="33" t="str">
        <f ca="1">IF(EL7=0,"Dec ✓","Dec")</f>
        <v>Dec ✓</v>
      </c>
      <c r="EM6" s="33" t="str">
        <f ca="1">IF(EM7=0,"Total ✓","Total")</f>
        <v>Total ✓</v>
      </c>
      <c r="EO6" s="33" t="str">
        <f ca="1">IF(EO7=0,"Jan ✓","Jan")</f>
        <v>Jan ✓</v>
      </c>
      <c r="EP6" s="33" t="str">
        <f ca="1">IF(EP7=0,"Feb ✓","Feb")</f>
        <v>Feb ✓</v>
      </c>
      <c r="EQ6" s="33" t="str">
        <f ca="1">IF(EQ7=0,"Mar ✓","Mar")</f>
        <v>Mar ✓</v>
      </c>
      <c r="ER6" s="33" t="str">
        <f ca="1">IF(ER7=0,"Apr ✓","Apr")</f>
        <v>Apr ✓</v>
      </c>
      <c r="ES6" s="33" t="str">
        <f ca="1">IF(ES7=0,"May ✓","May")</f>
        <v>May ✓</v>
      </c>
      <c r="ET6" s="33" t="str">
        <f ca="1">IF(ET7=0,"Jun ✓","Jun")</f>
        <v>Jun ✓</v>
      </c>
      <c r="EU6" s="33" t="str">
        <f ca="1">IF(EU7=0,"Jul ✓","Jul")</f>
        <v>Jul ✓</v>
      </c>
      <c r="EV6" s="33" t="str">
        <f ca="1">IF(EV7=0,"Aug ✓","Aug")</f>
        <v>Aug ✓</v>
      </c>
      <c r="EW6" s="33" t="str">
        <f ca="1">IF(EW7=0,"Sep ✓","Sep")</f>
        <v>Sep ✓</v>
      </c>
      <c r="EX6" s="33" t="str">
        <f ca="1">IF(EX7=0,"Oct ✓","Oct")</f>
        <v>Oct ✓</v>
      </c>
      <c r="EY6" s="33" t="str">
        <f ca="1">IF(EY7=0,"Nov ✓","Nov")</f>
        <v>Nov ✓</v>
      </c>
      <c r="EZ6" s="33" t="str">
        <f ca="1">IF(EZ7=0,"Dec ✓","Dec")</f>
        <v>Dec ✓</v>
      </c>
      <c r="FA6" s="33" t="str">
        <f ca="1">IF(FA7=0,"Total ✓","Total")</f>
        <v>Total ✓</v>
      </c>
    </row>
    <row r="7" spans="1:157" x14ac:dyDescent="0.25">
      <c r="C7" s="28" t="s">
        <v>27</v>
      </c>
      <c r="E7" s="30">
        <f t="shared" ref="E7:Q7" ca="1" si="0">E22 -(E37 + E51)</f>
        <v>0</v>
      </c>
      <c r="F7" s="30">
        <f t="shared" ca="1" si="0"/>
        <v>0</v>
      </c>
      <c r="G7" s="30">
        <f t="shared" ca="1" si="0"/>
        <v>0</v>
      </c>
      <c r="H7" s="30">
        <f t="shared" ca="1" si="0"/>
        <v>0</v>
      </c>
      <c r="I7" s="30">
        <f t="shared" ca="1" si="0"/>
        <v>0</v>
      </c>
      <c r="J7" s="30">
        <f t="shared" ca="1" si="0"/>
        <v>0</v>
      </c>
      <c r="K7" s="30">
        <f t="shared" ca="1" si="0"/>
        <v>0</v>
      </c>
      <c r="L7" s="30">
        <f t="shared" ca="1" si="0"/>
        <v>0</v>
      </c>
      <c r="M7" s="30">
        <f t="shared" ca="1" si="0"/>
        <v>0</v>
      </c>
      <c r="N7" s="30">
        <f t="shared" ca="1" si="0"/>
        <v>0</v>
      </c>
      <c r="O7" s="30">
        <f t="shared" ca="1" si="0"/>
        <v>0</v>
      </c>
      <c r="P7" s="30">
        <f t="shared" ca="1" si="0"/>
        <v>0</v>
      </c>
      <c r="Q7" s="31">
        <f t="shared" ca="1" si="0"/>
        <v>0</v>
      </c>
      <c r="S7" s="30">
        <f t="shared" ref="S7:AE7" ca="1" si="1">S22 -(S37 + S51)</f>
        <v>0</v>
      </c>
      <c r="T7" s="30">
        <f t="shared" ca="1" si="1"/>
        <v>0</v>
      </c>
      <c r="U7" s="30">
        <f t="shared" ca="1" si="1"/>
        <v>0</v>
      </c>
      <c r="V7" s="30">
        <f t="shared" ca="1" si="1"/>
        <v>0</v>
      </c>
      <c r="W7" s="30">
        <f t="shared" ca="1" si="1"/>
        <v>0</v>
      </c>
      <c r="X7" s="30">
        <f t="shared" ca="1" si="1"/>
        <v>0</v>
      </c>
      <c r="Y7" s="30">
        <f t="shared" ca="1" si="1"/>
        <v>0</v>
      </c>
      <c r="Z7" s="30">
        <f t="shared" ca="1" si="1"/>
        <v>0</v>
      </c>
      <c r="AA7" s="30">
        <f t="shared" ca="1" si="1"/>
        <v>0</v>
      </c>
      <c r="AB7" s="30">
        <f t="shared" ca="1" si="1"/>
        <v>0</v>
      </c>
      <c r="AC7" s="30">
        <f t="shared" ca="1" si="1"/>
        <v>0</v>
      </c>
      <c r="AD7" s="30">
        <f t="shared" ca="1" si="1"/>
        <v>0</v>
      </c>
      <c r="AE7" s="31">
        <f t="shared" ca="1" si="1"/>
        <v>0</v>
      </c>
      <c r="AG7" s="30">
        <f t="shared" ref="AG7:AS7" ca="1" si="2">AG22 -(AG37 + AG51)</f>
        <v>0</v>
      </c>
      <c r="AH7" s="30">
        <f t="shared" ca="1" si="2"/>
        <v>0</v>
      </c>
      <c r="AI7" s="30">
        <f t="shared" ca="1" si="2"/>
        <v>0</v>
      </c>
      <c r="AJ7" s="30">
        <f t="shared" ca="1" si="2"/>
        <v>0</v>
      </c>
      <c r="AK7" s="30">
        <f t="shared" ca="1" si="2"/>
        <v>0</v>
      </c>
      <c r="AL7" s="30">
        <f t="shared" ca="1" si="2"/>
        <v>0</v>
      </c>
      <c r="AM7" s="30">
        <f t="shared" ca="1" si="2"/>
        <v>0</v>
      </c>
      <c r="AN7" s="30">
        <f t="shared" ca="1" si="2"/>
        <v>0</v>
      </c>
      <c r="AO7" s="30">
        <f t="shared" ca="1" si="2"/>
        <v>0</v>
      </c>
      <c r="AP7" s="30">
        <f t="shared" ca="1" si="2"/>
        <v>0</v>
      </c>
      <c r="AQ7" s="30">
        <f t="shared" ca="1" si="2"/>
        <v>0</v>
      </c>
      <c r="AR7" s="30">
        <f t="shared" ca="1" si="2"/>
        <v>0</v>
      </c>
      <c r="AS7" s="31">
        <f t="shared" ca="1" si="2"/>
        <v>0</v>
      </c>
      <c r="AU7" s="30">
        <f t="shared" ref="AU7:BG7" ca="1" si="3">AU22 -(AU37 + AU51)</f>
        <v>0</v>
      </c>
      <c r="AV7" s="30">
        <f t="shared" ca="1" si="3"/>
        <v>0</v>
      </c>
      <c r="AW7" s="30">
        <f t="shared" ca="1" si="3"/>
        <v>0</v>
      </c>
      <c r="AX7" s="30">
        <f t="shared" ca="1" si="3"/>
        <v>0</v>
      </c>
      <c r="AY7" s="30">
        <f t="shared" ca="1" si="3"/>
        <v>0</v>
      </c>
      <c r="AZ7" s="30">
        <f t="shared" ca="1" si="3"/>
        <v>0</v>
      </c>
      <c r="BA7" s="30">
        <f t="shared" ca="1" si="3"/>
        <v>0</v>
      </c>
      <c r="BB7" s="30">
        <f t="shared" ca="1" si="3"/>
        <v>0</v>
      </c>
      <c r="BC7" s="30">
        <f t="shared" ca="1" si="3"/>
        <v>0</v>
      </c>
      <c r="BD7" s="30">
        <f t="shared" ca="1" si="3"/>
        <v>0</v>
      </c>
      <c r="BE7" s="30">
        <f t="shared" ca="1" si="3"/>
        <v>0</v>
      </c>
      <c r="BF7" s="30">
        <f t="shared" ca="1" si="3"/>
        <v>0</v>
      </c>
      <c r="BG7" s="31">
        <f t="shared" ca="1" si="3"/>
        <v>0</v>
      </c>
      <c r="BI7" s="30">
        <f t="shared" ref="BI7:BU7" ca="1" si="4">BI22 -(BI37 + BI51)</f>
        <v>0</v>
      </c>
      <c r="BJ7" s="30">
        <f t="shared" ca="1" si="4"/>
        <v>0</v>
      </c>
      <c r="BK7" s="30">
        <f t="shared" ca="1" si="4"/>
        <v>0</v>
      </c>
      <c r="BL7" s="30">
        <f t="shared" ca="1" si="4"/>
        <v>0</v>
      </c>
      <c r="BM7" s="30">
        <f t="shared" ca="1" si="4"/>
        <v>0</v>
      </c>
      <c r="BN7" s="30">
        <f t="shared" ca="1" si="4"/>
        <v>0</v>
      </c>
      <c r="BO7" s="30">
        <f t="shared" ca="1" si="4"/>
        <v>0</v>
      </c>
      <c r="BP7" s="30">
        <f t="shared" ca="1" si="4"/>
        <v>0</v>
      </c>
      <c r="BQ7" s="30">
        <f t="shared" ca="1" si="4"/>
        <v>0</v>
      </c>
      <c r="BR7" s="30">
        <f t="shared" ca="1" si="4"/>
        <v>0</v>
      </c>
      <c r="BS7" s="30">
        <f t="shared" ca="1" si="4"/>
        <v>0</v>
      </c>
      <c r="BT7" s="30">
        <f t="shared" ca="1" si="4"/>
        <v>0</v>
      </c>
      <c r="BU7" s="31">
        <f t="shared" ca="1" si="4"/>
        <v>0</v>
      </c>
      <c r="BW7" s="30">
        <f t="shared" ref="BW7:CI7" ca="1" si="5">BW22 -(BW37 + BW51)</f>
        <v>0</v>
      </c>
      <c r="BX7" s="30">
        <f t="shared" ca="1" si="5"/>
        <v>0</v>
      </c>
      <c r="BY7" s="30">
        <f t="shared" ca="1" si="5"/>
        <v>0</v>
      </c>
      <c r="BZ7" s="30">
        <f t="shared" ca="1" si="5"/>
        <v>0</v>
      </c>
      <c r="CA7" s="30">
        <f t="shared" ca="1" si="5"/>
        <v>0</v>
      </c>
      <c r="CB7" s="30">
        <f t="shared" ca="1" si="5"/>
        <v>0</v>
      </c>
      <c r="CC7" s="30">
        <f t="shared" ca="1" si="5"/>
        <v>0</v>
      </c>
      <c r="CD7" s="30">
        <f t="shared" ca="1" si="5"/>
        <v>0</v>
      </c>
      <c r="CE7" s="30">
        <f t="shared" ca="1" si="5"/>
        <v>0</v>
      </c>
      <c r="CF7" s="30">
        <f t="shared" ca="1" si="5"/>
        <v>0</v>
      </c>
      <c r="CG7" s="30">
        <f t="shared" ca="1" si="5"/>
        <v>0</v>
      </c>
      <c r="CH7" s="30">
        <f t="shared" ca="1" si="5"/>
        <v>0</v>
      </c>
      <c r="CI7" s="31">
        <f t="shared" ca="1" si="5"/>
        <v>0</v>
      </c>
      <c r="CK7" s="30">
        <f t="shared" ref="CK7:CW7" ca="1" si="6">CK22 -(CK37 + CK51)</f>
        <v>0</v>
      </c>
      <c r="CL7" s="30">
        <f t="shared" ca="1" si="6"/>
        <v>0</v>
      </c>
      <c r="CM7" s="30">
        <f t="shared" ca="1" si="6"/>
        <v>0</v>
      </c>
      <c r="CN7" s="30">
        <f t="shared" ca="1" si="6"/>
        <v>0</v>
      </c>
      <c r="CO7" s="30">
        <f t="shared" ca="1" si="6"/>
        <v>0</v>
      </c>
      <c r="CP7" s="30">
        <f t="shared" ca="1" si="6"/>
        <v>0</v>
      </c>
      <c r="CQ7" s="30">
        <f t="shared" ca="1" si="6"/>
        <v>0</v>
      </c>
      <c r="CR7" s="30">
        <f t="shared" ca="1" si="6"/>
        <v>0</v>
      </c>
      <c r="CS7" s="30">
        <f t="shared" ca="1" si="6"/>
        <v>0</v>
      </c>
      <c r="CT7" s="30">
        <f t="shared" ca="1" si="6"/>
        <v>0</v>
      </c>
      <c r="CU7" s="30">
        <f t="shared" ca="1" si="6"/>
        <v>0</v>
      </c>
      <c r="CV7" s="30">
        <f t="shared" ca="1" si="6"/>
        <v>0</v>
      </c>
      <c r="CW7" s="31">
        <f t="shared" ca="1" si="6"/>
        <v>0</v>
      </c>
      <c r="CY7" s="30">
        <f t="shared" ref="CY7:DK7" ca="1" si="7">CY22 -(CY37 + CY51)</f>
        <v>0</v>
      </c>
      <c r="CZ7" s="30">
        <f t="shared" ca="1" si="7"/>
        <v>0</v>
      </c>
      <c r="DA7" s="30">
        <f t="shared" ca="1" si="7"/>
        <v>0</v>
      </c>
      <c r="DB7" s="30">
        <f t="shared" ca="1" si="7"/>
        <v>0</v>
      </c>
      <c r="DC7" s="30">
        <f t="shared" ca="1" si="7"/>
        <v>0</v>
      </c>
      <c r="DD7" s="30">
        <f t="shared" ca="1" si="7"/>
        <v>0</v>
      </c>
      <c r="DE7" s="30">
        <f t="shared" ca="1" si="7"/>
        <v>0</v>
      </c>
      <c r="DF7" s="30">
        <f t="shared" ca="1" si="7"/>
        <v>0</v>
      </c>
      <c r="DG7" s="30">
        <f t="shared" ca="1" si="7"/>
        <v>0</v>
      </c>
      <c r="DH7" s="30">
        <f t="shared" ca="1" si="7"/>
        <v>0</v>
      </c>
      <c r="DI7" s="30">
        <f t="shared" ca="1" si="7"/>
        <v>0</v>
      </c>
      <c r="DJ7" s="30">
        <f t="shared" ca="1" si="7"/>
        <v>0</v>
      </c>
      <c r="DK7" s="31">
        <f t="shared" ca="1" si="7"/>
        <v>0</v>
      </c>
      <c r="DM7" s="30">
        <f t="shared" ref="DM7:DY7" ca="1" si="8">DM22 -(DM37 + DM51)</f>
        <v>0</v>
      </c>
      <c r="DN7" s="30">
        <f t="shared" ca="1" si="8"/>
        <v>0</v>
      </c>
      <c r="DO7" s="30">
        <f t="shared" ca="1" si="8"/>
        <v>0</v>
      </c>
      <c r="DP7" s="30">
        <f t="shared" ca="1" si="8"/>
        <v>0</v>
      </c>
      <c r="DQ7" s="30">
        <f t="shared" ca="1" si="8"/>
        <v>0</v>
      </c>
      <c r="DR7" s="30">
        <f t="shared" ca="1" si="8"/>
        <v>0</v>
      </c>
      <c r="DS7" s="30">
        <f t="shared" ca="1" si="8"/>
        <v>0</v>
      </c>
      <c r="DT7" s="30">
        <f t="shared" ca="1" si="8"/>
        <v>0</v>
      </c>
      <c r="DU7" s="30">
        <f t="shared" ca="1" si="8"/>
        <v>0</v>
      </c>
      <c r="DV7" s="30">
        <f t="shared" ca="1" si="8"/>
        <v>0</v>
      </c>
      <c r="DW7" s="30">
        <f t="shared" ca="1" si="8"/>
        <v>0</v>
      </c>
      <c r="DX7" s="30">
        <f t="shared" ca="1" si="8"/>
        <v>0</v>
      </c>
      <c r="DY7" s="31">
        <f t="shared" ca="1" si="8"/>
        <v>0</v>
      </c>
      <c r="EA7" s="30">
        <f t="shared" ref="EA7:EM7" ca="1" si="9">EA22 -(EA37 + EA51)</f>
        <v>0</v>
      </c>
      <c r="EB7" s="30">
        <f t="shared" ca="1" si="9"/>
        <v>0</v>
      </c>
      <c r="EC7" s="30">
        <f t="shared" ca="1" si="9"/>
        <v>0</v>
      </c>
      <c r="ED7" s="30">
        <f t="shared" ca="1" si="9"/>
        <v>0</v>
      </c>
      <c r="EE7" s="30">
        <f t="shared" ca="1" si="9"/>
        <v>0</v>
      </c>
      <c r="EF7" s="30">
        <f t="shared" ca="1" si="9"/>
        <v>0</v>
      </c>
      <c r="EG7" s="30">
        <f t="shared" ca="1" si="9"/>
        <v>0</v>
      </c>
      <c r="EH7" s="30">
        <f t="shared" ca="1" si="9"/>
        <v>0</v>
      </c>
      <c r="EI7" s="30">
        <f t="shared" ca="1" si="9"/>
        <v>0</v>
      </c>
      <c r="EJ7" s="30">
        <f t="shared" ca="1" si="9"/>
        <v>0</v>
      </c>
      <c r="EK7" s="30">
        <f t="shared" ca="1" si="9"/>
        <v>0</v>
      </c>
      <c r="EL7" s="30">
        <f t="shared" ca="1" si="9"/>
        <v>0</v>
      </c>
      <c r="EM7" s="31">
        <f t="shared" ca="1" si="9"/>
        <v>0</v>
      </c>
      <c r="EO7" s="30">
        <f t="shared" ref="EO7:FA7" ca="1" si="10">EO22 -(EO37 + EO51)</f>
        <v>0</v>
      </c>
      <c r="EP7" s="30">
        <f t="shared" ca="1" si="10"/>
        <v>0</v>
      </c>
      <c r="EQ7" s="30">
        <f t="shared" ca="1" si="10"/>
        <v>0</v>
      </c>
      <c r="ER7" s="30">
        <f t="shared" ca="1" si="10"/>
        <v>0</v>
      </c>
      <c r="ES7" s="30">
        <f t="shared" ca="1" si="10"/>
        <v>0</v>
      </c>
      <c r="ET7" s="30">
        <f t="shared" ca="1" si="10"/>
        <v>0</v>
      </c>
      <c r="EU7" s="30">
        <f t="shared" ca="1" si="10"/>
        <v>0</v>
      </c>
      <c r="EV7" s="30">
        <f t="shared" ca="1" si="10"/>
        <v>0</v>
      </c>
      <c r="EW7" s="30">
        <f t="shared" ca="1" si="10"/>
        <v>0</v>
      </c>
      <c r="EX7" s="30">
        <f t="shared" ca="1" si="10"/>
        <v>0</v>
      </c>
      <c r="EY7" s="30">
        <f t="shared" ca="1" si="10"/>
        <v>0</v>
      </c>
      <c r="EZ7" s="30">
        <f t="shared" ca="1" si="10"/>
        <v>0</v>
      </c>
      <c r="FA7" s="31">
        <f t="shared" ca="1" si="10"/>
        <v>0</v>
      </c>
    </row>
    <row r="8" spans="1:157" x14ac:dyDescent="0.25">
      <c r="E8" s="32"/>
      <c r="S8" s="32"/>
      <c r="AG8" s="32"/>
      <c r="AU8" s="32"/>
      <c r="BI8" s="32"/>
      <c r="BW8" s="32"/>
      <c r="CK8" s="32"/>
      <c r="CY8" s="32"/>
      <c r="DM8" s="32"/>
      <c r="EA8" s="32"/>
      <c r="EO8" s="32"/>
    </row>
    <row r="9" spans="1:157" x14ac:dyDescent="0.25">
      <c r="C9" s="17" t="s">
        <v>11</v>
      </c>
      <c r="E9" s="20">
        <f>DATE(E$5,1,1)</f>
        <v>44562</v>
      </c>
      <c r="F9" s="20">
        <f>DATE(E$5,2,1)</f>
        <v>44593</v>
      </c>
      <c r="G9" s="20">
        <f>DATE(E$5,3,1)</f>
        <v>44621</v>
      </c>
      <c r="H9" s="20">
        <f>DATE(E$5,4,1)</f>
        <v>44652</v>
      </c>
      <c r="I9" s="20">
        <f>DATE(E$5,5,1)</f>
        <v>44682</v>
      </c>
      <c r="J9" s="20">
        <f>DATE(E$5,6,1)</f>
        <v>44713</v>
      </c>
      <c r="K9" s="20">
        <f>DATE(E$5,7,1)</f>
        <v>44743</v>
      </c>
      <c r="L9" s="20">
        <f>DATE(E$5,8,1)</f>
        <v>44774</v>
      </c>
      <c r="M9" s="20">
        <f>DATE(E$5,9,1)</f>
        <v>44805</v>
      </c>
      <c r="N9" s="20">
        <f>DATE(E$5,10,1)</f>
        <v>44835</v>
      </c>
      <c r="O9" s="20">
        <f>DATE(E$5,11,1)</f>
        <v>44866</v>
      </c>
      <c r="P9" s="20">
        <f>DATE(E$5,12,1)</f>
        <v>44896</v>
      </c>
      <c r="Q9" s="19">
        <f>E$5</f>
        <v>2022</v>
      </c>
      <c r="S9" s="20">
        <f>DATE(S$5,1,1)</f>
        <v>44927</v>
      </c>
      <c r="T9" s="20">
        <f>DATE(S$5,2,1)</f>
        <v>44958</v>
      </c>
      <c r="U9" s="20">
        <f>DATE(S$5,3,1)</f>
        <v>44986</v>
      </c>
      <c r="V9" s="20">
        <f>DATE(S$5,4,1)</f>
        <v>45017</v>
      </c>
      <c r="W9" s="20">
        <f>DATE(S$5,5,1)</f>
        <v>45047</v>
      </c>
      <c r="X9" s="20">
        <f>DATE(S$5,6,1)</f>
        <v>45078</v>
      </c>
      <c r="Y9" s="20">
        <f>DATE(S$5,7,1)</f>
        <v>45108</v>
      </c>
      <c r="Z9" s="20">
        <f>DATE(S$5,8,1)</f>
        <v>45139</v>
      </c>
      <c r="AA9" s="20">
        <f>DATE(S$5,9,1)</f>
        <v>45170</v>
      </c>
      <c r="AB9" s="20">
        <f>DATE(S$5,10,1)</f>
        <v>45200</v>
      </c>
      <c r="AC9" s="20">
        <f>DATE(S$5,11,1)</f>
        <v>45231</v>
      </c>
      <c r="AD9" s="20">
        <f>DATE(S$5,12,1)</f>
        <v>45261</v>
      </c>
      <c r="AE9" s="19">
        <f>S$5</f>
        <v>2023</v>
      </c>
      <c r="AG9" s="20">
        <f>DATE(AG$5,1,1)</f>
        <v>45292</v>
      </c>
      <c r="AH9" s="20">
        <f>DATE(AG$5,2,1)</f>
        <v>45323</v>
      </c>
      <c r="AI9" s="20">
        <f>DATE(AG$5,3,1)</f>
        <v>45352</v>
      </c>
      <c r="AJ9" s="20">
        <f>DATE(AG$5,4,1)</f>
        <v>45383</v>
      </c>
      <c r="AK9" s="20">
        <f>DATE(AG$5,5,1)</f>
        <v>45413</v>
      </c>
      <c r="AL9" s="20">
        <f>DATE(AG$5,6,1)</f>
        <v>45444</v>
      </c>
      <c r="AM9" s="20">
        <f>DATE(AG$5,7,1)</f>
        <v>45474</v>
      </c>
      <c r="AN9" s="20">
        <f>DATE(AG$5,8,1)</f>
        <v>45505</v>
      </c>
      <c r="AO9" s="20">
        <f>DATE(AG$5,9,1)</f>
        <v>45536</v>
      </c>
      <c r="AP9" s="20">
        <f>DATE(AG$5,10,1)</f>
        <v>45566</v>
      </c>
      <c r="AQ9" s="20">
        <f>DATE(AG$5,11,1)</f>
        <v>45597</v>
      </c>
      <c r="AR9" s="20">
        <f>DATE(AG$5,12,1)</f>
        <v>45627</v>
      </c>
      <c r="AS9" s="19">
        <f>AG$5</f>
        <v>2024</v>
      </c>
      <c r="AU9" s="20">
        <f>DATE(AU$5,1,1)</f>
        <v>45658</v>
      </c>
      <c r="AV9" s="20">
        <f>DATE(AU$5,2,1)</f>
        <v>45689</v>
      </c>
      <c r="AW9" s="20">
        <f>DATE(AU$5,3,1)</f>
        <v>45717</v>
      </c>
      <c r="AX9" s="20">
        <f>DATE(AU$5,4,1)</f>
        <v>45748</v>
      </c>
      <c r="AY9" s="20">
        <f>DATE(AU$5,5,1)</f>
        <v>45778</v>
      </c>
      <c r="AZ9" s="20">
        <f>DATE(AU$5,6,1)</f>
        <v>45809</v>
      </c>
      <c r="BA9" s="20">
        <f>DATE(AU$5,7,1)</f>
        <v>45839</v>
      </c>
      <c r="BB9" s="20">
        <f>DATE(AU$5,8,1)</f>
        <v>45870</v>
      </c>
      <c r="BC9" s="20">
        <f>DATE(AU$5,9,1)</f>
        <v>45901</v>
      </c>
      <c r="BD9" s="20">
        <f>DATE(AU$5,10,1)</f>
        <v>45931</v>
      </c>
      <c r="BE9" s="20">
        <f>DATE(AU$5,11,1)</f>
        <v>45962</v>
      </c>
      <c r="BF9" s="20">
        <f>DATE(AU$5,12,1)</f>
        <v>45992</v>
      </c>
      <c r="BG9" s="19">
        <f>AU$5</f>
        <v>2025</v>
      </c>
      <c r="BI9" s="20">
        <f>DATE(BI$5,1,1)</f>
        <v>46023</v>
      </c>
      <c r="BJ9" s="20">
        <f>DATE(BI$5,2,1)</f>
        <v>46054</v>
      </c>
      <c r="BK9" s="20">
        <f>DATE(BI$5,3,1)</f>
        <v>46082</v>
      </c>
      <c r="BL9" s="20">
        <f>DATE(BI$5,4,1)</f>
        <v>46113</v>
      </c>
      <c r="BM9" s="20">
        <f>DATE(BI$5,5,1)</f>
        <v>46143</v>
      </c>
      <c r="BN9" s="20">
        <f>DATE(BI$5,6,1)</f>
        <v>46174</v>
      </c>
      <c r="BO9" s="20">
        <f>DATE(BI$5,7,1)</f>
        <v>46204</v>
      </c>
      <c r="BP9" s="20">
        <f>DATE(BI$5,8,1)</f>
        <v>46235</v>
      </c>
      <c r="BQ9" s="20">
        <f>DATE(BI$5,9,1)</f>
        <v>46266</v>
      </c>
      <c r="BR9" s="20">
        <f>DATE(BI$5,10,1)</f>
        <v>46296</v>
      </c>
      <c r="BS9" s="20">
        <f>DATE(BI$5,11,1)</f>
        <v>46327</v>
      </c>
      <c r="BT9" s="20">
        <f>DATE(BI$5,12,1)</f>
        <v>46357</v>
      </c>
      <c r="BU9" s="19">
        <f>BI$5</f>
        <v>2026</v>
      </c>
      <c r="BW9" s="20">
        <f>DATE(BW$5,1,1)</f>
        <v>46388</v>
      </c>
      <c r="BX9" s="20">
        <f>DATE(BW$5,2,1)</f>
        <v>46419</v>
      </c>
      <c r="BY9" s="20">
        <f>DATE(BW$5,3,1)</f>
        <v>46447</v>
      </c>
      <c r="BZ9" s="20">
        <f>DATE(BW$5,4,1)</f>
        <v>46478</v>
      </c>
      <c r="CA9" s="20">
        <f>DATE(BW$5,5,1)</f>
        <v>46508</v>
      </c>
      <c r="CB9" s="20">
        <f>DATE(BW$5,6,1)</f>
        <v>46539</v>
      </c>
      <c r="CC9" s="20">
        <f>DATE(BW$5,7,1)</f>
        <v>46569</v>
      </c>
      <c r="CD9" s="20">
        <f>DATE(BW$5,8,1)</f>
        <v>46600</v>
      </c>
      <c r="CE9" s="20">
        <f>DATE(BW$5,9,1)</f>
        <v>46631</v>
      </c>
      <c r="CF9" s="20">
        <f>DATE(BW$5,10,1)</f>
        <v>46661</v>
      </c>
      <c r="CG9" s="20">
        <f>DATE(BW$5,11,1)</f>
        <v>46692</v>
      </c>
      <c r="CH9" s="20">
        <f>DATE(BW$5,12,1)</f>
        <v>46722</v>
      </c>
      <c r="CI9" s="19">
        <f>BW$5</f>
        <v>2027</v>
      </c>
      <c r="CK9" s="20">
        <f>DATE(CK$5,1,1)</f>
        <v>46753</v>
      </c>
      <c r="CL9" s="20">
        <f>DATE(CK$5,2,1)</f>
        <v>46784</v>
      </c>
      <c r="CM9" s="20">
        <f>DATE(CK$5,3,1)</f>
        <v>46813</v>
      </c>
      <c r="CN9" s="20">
        <f>DATE(CK$5,4,1)</f>
        <v>46844</v>
      </c>
      <c r="CO9" s="20">
        <f>DATE(CK$5,5,1)</f>
        <v>46874</v>
      </c>
      <c r="CP9" s="20">
        <f>DATE(CK$5,6,1)</f>
        <v>46905</v>
      </c>
      <c r="CQ9" s="20">
        <f>DATE(CK$5,7,1)</f>
        <v>46935</v>
      </c>
      <c r="CR9" s="20">
        <f>DATE(CK$5,8,1)</f>
        <v>46966</v>
      </c>
      <c r="CS9" s="20">
        <f>DATE(CK$5,9,1)</f>
        <v>46997</v>
      </c>
      <c r="CT9" s="20">
        <f>DATE(CK$5,10,1)</f>
        <v>47027</v>
      </c>
      <c r="CU9" s="20">
        <f>DATE(CK$5,11,1)</f>
        <v>47058</v>
      </c>
      <c r="CV9" s="20">
        <f>DATE(CK$5,12,1)</f>
        <v>47088</v>
      </c>
      <c r="CW9" s="19">
        <f>CK$5</f>
        <v>2028</v>
      </c>
      <c r="CY9" s="20">
        <f>DATE(CY$5,1,1)</f>
        <v>47119</v>
      </c>
      <c r="CZ9" s="20">
        <f>DATE(CY$5,2,1)</f>
        <v>47150</v>
      </c>
      <c r="DA9" s="20">
        <f>DATE(CY$5,3,1)</f>
        <v>47178</v>
      </c>
      <c r="DB9" s="20">
        <f>DATE(CY$5,4,1)</f>
        <v>47209</v>
      </c>
      <c r="DC9" s="20">
        <f>DATE(CY$5,5,1)</f>
        <v>47239</v>
      </c>
      <c r="DD9" s="20">
        <f>DATE(CY$5,6,1)</f>
        <v>47270</v>
      </c>
      <c r="DE9" s="20">
        <f>DATE(CY$5,7,1)</f>
        <v>47300</v>
      </c>
      <c r="DF9" s="20">
        <f>DATE(CY$5,8,1)</f>
        <v>47331</v>
      </c>
      <c r="DG9" s="20">
        <f>DATE(CY$5,9,1)</f>
        <v>47362</v>
      </c>
      <c r="DH9" s="20">
        <f>DATE(CY$5,10,1)</f>
        <v>47392</v>
      </c>
      <c r="DI9" s="20">
        <f>DATE(CY$5,11,1)</f>
        <v>47423</v>
      </c>
      <c r="DJ9" s="20">
        <f>DATE(CY$5,12,1)</f>
        <v>47453</v>
      </c>
      <c r="DK9" s="19">
        <f>CY$5</f>
        <v>2029</v>
      </c>
      <c r="DM9" s="20">
        <f>DATE(DM$5,1,1)</f>
        <v>47484</v>
      </c>
      <c r="DN9" s="20">
        <f>DATE(DM$5,2,1)</f>
        <v>47515</v>
      </c>
      <c r="DO9" s="20">
        <f>DATE(DM$5,3,1)</f>
        <v>47543</v>
      </c>
      <c r="DP9" s="20">
        <f>DATE(DM$5,4,1)</f>
        <v>47574</v>
      </c>
      <c r="DQ9" s="20">
        <f>DATE(DM$5,5,1)</f>
        <v>47604</v>
      </c>
      <c r="DR9" s="20">
        <f>DATE(DM$5,6,1)</f>
        <v>47635</v>
      </c>
      <c r="DS9" s="20">
        <f>DATE(DM$5,7,1)</f>
        <v>47665</v>
      </c>
      <c r="DT9" s="20">
        <f>DATE(DM$5,8,1)</f>
        <v>47696</v>
      </c>
      <c r="DU9" s="20">
        <f>DATE(DM$5,9,1)</f>
        <v>47727</v>
      </c>
      <c r="DV9" s="20">
        <f>DATE(DM$5,10,1)</f>
        <v>47757</v>
      </c>
      <c r="DW9" s="20">
        <f>DATE(DM$5,11,1)</f>
        <v>47788</v>
      </c>
      <c r="DX9" s="20">
        <f>DATE(DM$5,12,1)</f>
        <v>47818</v>
      </c>
      <c r="DY9" s="19">
        <f>DM$5</f>
        <v>2030</v>
      </c>
      <c r="EA9" s="20">
        <f>DATE(EA$5,1,1)</f>
        <v>47849</v>
      </c>
      <c r="EB9" s="20">
        <f>DATE(EA$5,2,1)</f>
        <v>47880</v>
      </c>
      <c r="EC9" s="20">
        <f>DATE(EA$5,3,1)</f>
        <v>47908</v>
      </c>
      <c r="ED9" s="20">
        <f>DATE(EA$5,4,1)</f>
        <v>47939</v>
      </c>
      <c r="EE9" s="20">
        <f>DATE(EA$5,5,1)</f>
        <v>47969</v>
      </c>
      <c r="EF9" s="20">
        <f>DATE(EA$5,6,1)</f>
        <v>48000</v>
      </c>
      <c r="EG9" s="20">
        <f>DATE(EA$5,7,1)</f>
        <v>48030</v>
      </c>
      <c r="EH9" s="20">
        <f>DATE(EA$5,8,1)</f>
        <v>48061</v>
      </c>
      <c r="EI9" s="20">
        <f>DATE(EA$5,9,1)</f>
        <v>48092</v>
      </c>
      <c r="EJ9" s="20">
        <f>DATE(EA$5,10,1)</f>
        <v>48122</v>
      </c>
      <c r="EK9" s="20">
        <f>DATE(EA$5,11,1)</f>
        <v>48153</v>
      </c>
      <c r="EL9" s="20">
        <f>DATE(EA$5,12,1)</f>
        <v>48183</v>
      </c>
      <c r="EM9" s="19">
        <f>EA$5</f>
        <v>2031</v>
      </c>
      <c r="EO9" s="20">
        <f>DATE(EO$5,1,1)</f>
        <v>48214</v>
      </c>
      <c r="EP9" s="20">
        <f>DATE(EO$5,2,1)</f>
        <v>48245</v>
      </c>
      <c r="EQ9" s="20">
        <f>DATE(EO$5,3,1)</f>
        <v>48274</v>
      </c>
      <c r="ER9" s="20">
        <f>DATE(EO$5,4,1)</f>
        <v>48305</v>
      </c>
      <c r="ES9" s="20">
        <f>DATE(EO$5,5,1)</f>
        <v>48335</v>
      </c>
      <c r="ET9" s="20">
        <f>DATE(EO$5,6,1)</f>
        <v>48366</v>
      </c>
      <c r="EU9" s="20">
        <f>DATE(EO$5,7,1)</f>
        <v>48396</v>
      </c>
      <c r="EV9" s="20">
        <f>DATE(EO$5,8,1)</f>
        <v>48427</v>
      </c>
      <c r="EW9" s="20">
        <f>DATE(EO$5,9,1)</f>
        <v>48458</v>
      </c>
      <c r="EX9" s="20">
        <f>DATE(EO$5,10,1)</f>
        <v>48488</v>
      </c>
      <c r="EY9" s="20">
        <f>DATE(EO$5,11,1)</f>
        <v>48519</v>
      </c>
      <c r="EZ9" s="20">
        <f>DATE(EO$5,12,1)</f>
        <v>48549</v>
      </c>
      <c r="FA9" s="19">
        <f>EO$5</f>
        <v>2032</v>
      </c>
    </row>
    <row r="10" spans="1:157" x14ac:dyDescent="0.25">
      <c r="C10" s="22" t="s">
        <v>14</v>
      </c>
      <c r="E10" s="23">
        <v>3500</v>
      </c>
      <c r="F10" s="23">
        <v>3500</v>
      </c>
      <c r="G10" s="23">
        <v>3500</v>
      </c>
      <c r="H10" s="23">
        <v>4500</v>
      </c>
      <c r="I10" s="23">
        <v>4500</v>
      </c>
      <c r="J10" s="23">
        <v>4500</v>
      </c>
      <c r="K10" s="23">
        <v>4500</v>
      </c>
      <c r="L10" s="23">
        <v>4500</v>
      </c>
      <c r="M10" s="23">
        <v>4500</v>
      </c>
      <c r="N10" s="23">
        <v>4500</v>
      </c>
      <c r="O10" s="23">
        <v>4500</v>
      </c>
      <c r="P10" s="23">
        <v>4500</v>
      </c>
      <c r="Q10" s="34">
        <f>SUM(E10:P10)</f>
        <v>51000</v>
      </c>
      <c r="S10" s="23"/>
      <c r="T10" s="23"/>
      <c r="U10" s="23"/>
      <c r="V10" s="23"/>
      <c r="W10" s="23"/>
      <c r="X10" s="23"/>
      <c r="Y10" s="23"/>
      <c r="Z10" s="23"/>
      <c r="AA10" s="23"/>
      <c r="AB10" s="23"/>
      <c r="AC10" s="23"/>
      <c r="AD10" s="23"/>
      <c r="AE10" s="34">
        <f>SUM(S10:AD10)</f>
        <v>0</v>
      </c>
      <c r="AG10" s="23"/>
      <c r="AH10" s="23"/>
      <c r="AI10" s="23"/>
      <c r="AJ10" s="23"/>
      <c r="AK10" s="23"/>
      <c r="AL10" s="23"/>
      <c r="AM10" s="23"/>
      <c r="AN10" s="23"/>
      <c r="AO10" s="23"/>
      <c r="AP10" s="23"/>
      <c r="AQ10" s="23"/>
      <c r="AR10" s="23"/>
      <c r="AS10" s="34">
        <f>SUM(AG10:AR10)</f>
        <v>0</v>
      </c>
      <c r="AU10" s="23"/>
      <c r="AV10" s="23"/>
      <c r="AW10" s="23"/>
      <c r="AX10" s="23"/>
      <c r="AY10" s="23"/>
      <c r="AZ10" s="23"/>
      <c r="BA10" s="23"/>
      <c r="BB10" s="23"/>
      <c r="BC10" s="23"/>
      <c r="BD10" s="23"/>
      <c r="BE10" s="23"/>
      <c r="BF10" s="23"/>
      <c r="BG10" s="34">
        <f>SUM(AU10:BF10)</f>
        <v>0</v>
      </c>
      <c r="BI10" s="23"/>
      <c r="BJ10" s="23"/>
      <c r="BK10" s="23"/>
      <c r="BL10" s="23"/>
      <c r="BM10" s="23"/>
      <c r="BN10" s="23"/>
      <c r="BO10" s="23"/>
      <c r="BP10" s="23"/>
      <c r="BQ10" s="23"/>
      <c r="BR10" s="23"/>
      <c r="BS10" s="23"/>
      <c r="BT10" s="23"/>
      <c r="BU10" s="34">
        <f>SUM(BI10:BT10)</f>
        <v>0</v>
      </c>
      <c r="BW10" s="23"/>
      <c r="BX10" s="23"/>
      <c r="BY10" s="23"/>
      <c r="BZ10" s="23"/>
      <c r="CA10" s="23"/>
      <c r="CB10" s="23"/>
      <c r="CC10" s="23"/>
      <c r="CD10" s="23"/>
      <c r="CE10" s="23"/>
      <c r="CF10" s="23"/>
      <c r="CG10" s="23"/>
      <c r="CH10" s="23"/>
      <c r="CI10" s="34">
        <f>SUM(BW10:CH10)</f>
        <v>0</v>
      </c>
      <c r="CK10" s="23"/>
      <c r="CL10" s="23"/>
      <c r="CM10" s="23"/>
      <c r="CN10" s="23"/>
      <c r="CO10" s="23"/>
      <c r="CP10" s="23"/>
      <c r="CQ10" s="23"/>
      <c r="CR10" s="23"/>
      <c r="CS10" s="23"/>
      <c r="CT10" s="23"/>
      <c r="CU10" s="23"/>
      <c r="CV10" s="23"/>
      <c r="CW10" s="34">
        <f>SUM(CK10:CV10)</f>
        <v>0</v>
      </c>
      <c r="CY10" s="23"/>
      <c r="CZ10" s="23"/>
      <c r="DA10" s="23"/>
      <c r="DB10" s="23"/>
      <c r="DC10" s="23"/>
      <c r="DD10" s="23"/>
      <c r="DE10" s="23"/>
      <c r="DF10" s="23"/>
      <c r="DG10" s="23"/>
      <c r="DH10" s="23"/>
      <c r="DI10" s="23"/>
      <c r="DJ10" s="23"/>
      <c r="DK10" s="34">
        <f>SUM(CY10:DJ10)</f>
        <v>0</v>
      </c>
      <c r="DM10" s="23"/>
      <c r="DN10" s="23"/>
      <c r="DO10" s="23"/>
      <c r="DP10" s="23"/>
      <c r="DQ10" s="23"/>
      <c r="DR10" s="23"/>
      <c r="DS10" s="23"/>
      <c r="DT10" s="23"/>
      <c r="DU10" s="23"/>
      <c r="DV10" s="23"/>
      <c r="DW10" s="23"/>
      <c r="DX10" s="23"/>
      <c r="DY10" s="34">
        <f>SUM(DM10:DX10)</f>
        <v>0</v>
      </c>
      <c r="EA10" s="23"/>
      <c r="EB10" s="23"/>
      <c r="EC10" s="23"/>
      <c r="ED10" s="23"/>
      <c r="EE10" s="23"/>
      <c r="EF10" s="23"/>
      <c r="EG10" s="23"/>
      <c r="EH10" s="23"/>
      <c r="EI10" s="23"/>
      <c r="EJ10" s="23"/>
      <c r="EK10" s="23"/>
      <c r="EL10" s="23"/>
      <c r="EM10" s="34">
        <f>SUM(EA10:EL10)</f>
        <v>0</v>
      </c>
      <c r="EO10" s="23"/>
      <c r="EP10" s="23"/>
      <c r="EQ10" s="23"/>
      <c r="ER10" s="23"/>
      <c r="ES10" s="23"/>
      <c r="ET10" s="23"/>
      <c r="EU10" s="23"/>
      <c r="EV10" s="23"/>
      <c r="EW10" s="23"/>
      <c r="EX10" s="23"/>
      <c r="EY10" s="23"/>
      <c r="EZ10" s="23"/>
      <c r="FA10" s="34">
        <f>SUM(EO10:EZ10)</f>
        <v>0</v>
      </c>
    </row>
    <row r="11" spans="1:157" x14ac:dyDescent="0.25">
      <c r="C11" s="22" t="s">
        <v>15</v>
      </c>
      <c r="E11" s="23">
        <v>1000</v>
      </c>
      <c r="F11" s="23">
        <v>1000</v>
      </c>
      <c r="G11" s="23">
        <v>1000</v>
      </c>
      <c r="H11" s="23">
        <v>1000</v>
      </c>
      <c r="I11" s="23">
        <v>1000</v>
      </c>
      <c r="J11" s="23">
        <v>1000</v>
      </c>
      <c r="K11" s="23">
        <v>1000</v>
      </c>
      <c r="L11" s="23">
        <v>1000</v>
      </c>
      <c r="M11" s="23">
        <v>1000</v>
      </c>
      <c r="N11" s="23">
        <v>1000</v>
      </c>
      <c r="O11" s="23">
        <v>1000</v>
      </c>
      <c r="P11" s="23">
        <v>1000</v>
      </c>
      <c r="Q11" s="36">
        <f t="shared" ref="Q11:Q13" si="11">SUM(E11:P11)</f>
        <v>12000</v>
      </c>
      <c r="S11" s="23"/>
      <c r="T11" s="23"/>
      <c r="U11" s="23"/>
      <c r="V11" s="23"/>
      <c r="W11" s="23"/>
      <c r="X11" s="23"/>
      <c r="Y11" s="23"/>
      <c r="Z11" s="23"/>
      <c r="AA11" s="23"/>
      <c r="AB11" s="23"/>
      <c r="AC11" s="23"/>
      <c r="AD11" s="23"/>
      <c r="AE11" s="23">
        <f t="shared" ref="AE11" si="12">SUM(S11:AD11)</f>
        <v>0</v>
      </c>
      <c r="AG11" s="23"/>
      <c r="AH11" s="23"/>
      <c r="AI11" s="23"/>
      <c r="AJ11" s="23"/>
      <c r="AK11" s="23"/>
      <c r="AL11" s="23"/>
      <c r="AM11" s="23"/>
      <c r="AN11" s="23"/>
      <c r="AO11" s="23"/>
      <c r="AP11" s="23"/>
      <c r="AQ11" s="23"/>
      <c r="AR11" s="23"/>
      <c r="AS11" s="23">
        <f t="shared" ref="AS11" si="13">SUM(AG11:AR11)</f>
        <v>0</v>
      </c>
      <c r="AU11" s="23"/>
      <c r="AV11" s="23"/>
      <c r="AW11" s="23"/>
      <c r="AX11" s="23"/>
      <c r="AY11" s="23"/>
      <c r="AZ11" s="23"/>
      <c r="BA11" s="23"/>
      <c r="BB11" s="23"/>
      <c r="BC11" s="23"/>
      <c r="BD11" s="23"/>
      <c r="BE11" s="23"/>
      <c r="BF11" s="23"/>
      <c r="BG11" s="23">
        <f t="shared" ref="BG11" si="14">SUM(AU11:BF11)</f>
        <v>0</v>
      </c>
      <c r="BI11" s="23"/>
      <c r="BJ11" s="23"/>
      <c r="BK11" s="23"/>
      <c r="BL11" s="23"/>
      <c r="BM11" s="23"/>
      <c r="BN11" s="23"/>
      <c r="BO11" s="23"/>
      <c r="BP11" s="23"/>
      <c r="BQ11" s="23"/>
      <c r="BR11" s="23"/>
      <c r="BS11" s="23"/>
      <c r="BT11" s="23"/>
      <c r="BU11" s="23">
        <f t="shared" ref="BU11" si="15">SUM(BI11:BT11)</f>
        <v>0</v>
      </c>
      <c r="BW11" s="23"/>
      <c r="BX11" s="23"/>
      <c r="BY11" s="23"/>
      <c r="BZ11" s="23"/>
      <c r="CA11" s="23"/>
      <c r="CB11" s="23"/>
      <c r="CC11" s="23"/>
      <c r="CD11" s="23"/>
      <c r="CE11" s="23"/>
      <c r="CF11" s="23"/>
      <c r="CG11" s="23"/>
      <c r="CH11" s="23"/>
      <c r="CI11" s="23">
        <f t="shared" ref="CI11" si="16">SUM(BW11:CH11)</f>
        <v>0</v>
      </c>
      <c r="CK11" s="23"/>
      <c r="CL11" s="23"/>
      <c r="CM11" s="23"/>
      <c r="CN11" s="23"/>
      <c r="CO11" s="23"/>
      <c r="CP11" s="23"/>
      <c r="CQ11" s="23"/>
      <c r="CR11" s="23"/>
      <c r="CS11" s="23"/>
      <c r="CT11" s="23"/>
      <c r="CU11" s="23"/>
      <c r="CV11" s="23"/>
      <c r="CW11" s="23">
        <f t="shared" ref="CW11" si="17">SUM(CK11:CV11)</f>
        <v>0</v>
      </c>
      <c r="CY11" s="23"/>
      <c r="CZ11" s="23"/>
      <c r="DA11" s="23"/>
      <c r="DB11" s="23"/>
      <c r="DC11" s="23"/>
      <c r="DD11" s="23"/>
      <c r="DE11" s="23"/>
      <c r="DF11" s="23"/>
      <c r="DG11" s="23"/>
      <c r="DH11" s="23"/>
      <c r="DI11" s="23"/>
      <c r="DJ11" s="23"/>
      <c r="DK11" s="23">
        <f t="shared" ref="DK11" si="18">SUM(CY11:DJ11)</f>
        <v>0</v>
      </c>
      <c r="DM11" s="23"/>
      <c r="DN11" s="23"/>
      <c r="DO11" s="23"/>
      <c r="DP11" s="23"/>
      <c r="DQ11" s="23"/>
      <c r="DR11" s="23"/>
      <c r="DS11" s="23"/>
      <c r="DT11" s="23"/>
      <c r="DU11" s="23"/>
      <c r="DV11" s="23"/>
      <c r="DW11" s="23"/>
      <c r="DX11" s="23"/>
      <c r="DY11" s="23">
        <f t="shared" ref="DY11" si="19">SUM(DM11:DX11)</f>
        <v>0</v>
      </c>
      <c r="EA11" s="23"/>
      <c r="EB11" s="23"/>
      <c r="EC11" s="23"/>
      <c r="ED11" s="23"/>
      <c r="EE11" s="23"/>
      <c r="EF11" s="23"/>
      <c r="EG11" s="23"/>
      <c r="EH11" s="23"/>
      <c r="EI11" s="23"/>
      <c r="EJ11" s="23"/>
      <c r="EK11" s="23"/>
      <c r="EL11" s="23"/>
      <c r="EM11" s="23">
        <f t="shared" ref="EM11" si="20">SUM(EA11:EL11)</f>
        <v>0</v>
      </c>
      <c r="EO11" s="23"/>
      <c r="EP11" s="23"/>
      <c r="EQ11" s="23"/>
      <c r="ER11" s="23"/>
      <c r="ES11" s="23"/>
      <c r="ET11" s="23"/>
      <c r="EU11" s="23"/>
      <c r="EV11" s="23"/>
      <c r="EW11" s="23"/>
      <c r="EX11" s="23"/>
      <c r="EY11" s="23"/>
      <c r="EZ11" s="23"/>
      <c r="FA11" s="23">
        <f t="shared" ref="FA11" si="21">SUM(EO11:EZ11)</f>
        <v>0</v>
      </c>
    </row>
    <row r="12" spans="1:157" x14ac:dyDescent="0.25">
      <c r="C12" s="22" t="s">
        <v>16</v>
      </c>
      <c r="E12" s="23">
        <v>150</v>
      </c>
      <c r="F12" s="23">
        <v>50</v>
      </c>
      <c r="G12" s="23">
        <v>100</v>
      </c>
      <c r="H12" s="23">
        <v>150</v>
      </c>
      <c r="I12" s="23">
        <v>50</v>
      </c>
      <c r="J12" s="23">
        <v>100</v>
      </c>
      <c r="K12" s="23">
        <v>150</v>
      </c>
      <c r="L12" s="23">
        <v>50</v>
      </c>
      <c r="M12" s="23">
        <v>100</v>
      </c>
      <c r="N12" s="23">
        <v>150</v>
      </c>
      <c r="O12" s="23">
        <v>50</v>
      </c>
      <c r="P12" s="23">
        <v>100</v>
      </c>
      <c r="Q12" s="34">
        <f>SUM(E12:P12)</f>
        <v>1200</v>
      </c>
      <c r="S12" s="23"/>
      <c r="T12" s="23"/>
      <c r="U12" s="23"/>
      <c r="V12" s="23"/>
      <c r="W12" s="23"/>
      <c r="X12" s="23"/>
      <c r="Y12" s="23"/>
      <c r="Z12" s="23"/>
      <c r="AA12" s="23"/>
      <c r="AB12" s="23"/>
      <c r="AC12" s="23"/>
      <c r="AD12" s="23"/>
      <c r="AE12" s="23">
        <f>SUM(S12:AD12)</f>
        <v>0</v>
      </c>
      <c r="AG12" s="23"/>
      <c r="AH12" s="23"/>
      <c r="AI12" s="23"/>
      <c r="AJ12" s="23"/>
      <c r="AK12" s="23"/>
      <c r="AL12" s="23"/>
      <c r="AM12" s="23"/>
      <c r="AN12" s="23"/>
      <c r="AO12" s="23"/>
      <c r="AP12" s="23"/>
      <c r="AQ12" s="23"/>
      <c r="AR12" s="23"/>
      <c r="AS12" s="23">
        <f>SUM(AG12:AR12)</f>
        <v>0</v>
      </c>
      <c r="AU12" s="23"/>
      <c r="AV12" s="23"/>
      <c r="AW12" s="23"/>
      <c r="AX12" s="23"/>
      <c r="AY12" s="23"/>
      <c r="AZ12" s="23"/>
      <c r="BA12" s="23"/>
      <c r="BB12" s="23"/>
      <c r="BC12" s="23"/>
      <c r="BD12" s="23"/>
      <c r="BE12" s="23"/>
      <c r="BF12" s="23"/>
      <c r="BG12" s="23">
        <f>SUM(AU12:BF12)</f>
        <v>0</v>
      </c>
      <c r="BI12" s="23"/>
      <c r="BJ12" s="23"/>
      <c r="BK12" s="23"/>
      <c r="BL12" s="23"/>
      <c r="BM12" s="23"/>
      <c r="BN12" s="23"/>
      <c r="BO12" s="23"/>
      <c r="BP12" s="23"/>
      <c r="BQ12" s="23"/>
      <c r="BR12" s="23"/>
      <c r="BS12" s="23"/>
      <c r="BT12" s="23"/>
      <c r="BU12" s="23">
        <f>SUM(BI12:BT12)</f>
        <v>0</v>
      </c>
      <c r="BW12" s="23"/>
      <c r="BX12" s="23"/>
      <c r="BY12" s="23"/>
      <c r="BZ12" s="23"/>
      <c r="CA12" s="23"/>
      <c r="CB12" s="23"/>
      <c r="CC12" s="23"/>
      <c r="CD12" s="23"/>
      <c r="CE12" s="23"/>
      <c r="CF12" s="23"/>
      <c r="CG12" s="23"/>
      <c r="CH12" s="23"/>
      <c r="CI12" s="23">
        <f>SUM(BW12:CH12)</f>
        <v>0</v>
      </c>
      <c r="CK12" s="23"/>
      <c r="CL12" s="23"/>
      <c r="CM12" s="23"/>
      <c r="CN12" s="23"/>
      <c r="CO12" s="23"/>
      <c r="CP12" s="23"/>
      <c r="CQ12" s="23"/>
      <c r="CR12" s="23"/>
      <c r="CS12" s="23"/>
      <c r="CT12" s="23"/>
      <c r="CU12" s="23"/>
      <c r="CV12" s="23"/>
      <c r="CW12" s="23">
        <f>SUM(CK12:CV12)</f>
        <v>0</v>
      </c>
      <c r="CY12" s="23"/>
      <c r="CZ12" s="23"/>
      <c r="DA12" s="23"/>
      <c r="DB12" s="23"/>
      <c r="DC12" s="23"/>
      <c r="DD12" s="23"/>
      <c r="DE12" s="23"/>
      <c r="DF12" s="23"/>
      <c r="DG12" s="23"/>
      <c r="DH12" s="23"/>
      <c r="DI12" s="23"/>
      <c r="DJ12" s="23"/>
      <c r="DK12" s="23">
        <f>SUM(CY12:DJ12)</f>
        <v>0</v>
      </c>
      <c r="DM12" s="23"/>
      <c r="DN12" s="23"/>
      <c r="DO12" s="23"/>
      <c r="DP12" s="23"/>
      <c r="DQ12" s="23"/>
      <c r="DR12" s="23"/>
      <c r="DS12" s="23"/>
      <c r="DT12" s="23"/>
      <c r="DU12" s="23"/>
      <c r="DV12" s="23"/>
      <c r="DW12" s="23"/>
      <c r="DX12" s="23"/>
      <c r="DY12" s="23">
        <f>SUM(DM12:DX12)</f>
        <v>0</v>
      </c>
      <c r="EA12" s="23"/>
      <c r="EB12" s="23"/>
      <c r="EC12" s="23"/>
      <c r="ED12" s="23"/>
      <c r="EE12" s="23"/>
      <c r="EF12" s="23"/>
      <c r="EG12" s="23"/>
      <c r="EH12" s="23"/>
      <c r="EI12" s="23"/>
      <c r="EJ12" s="23"/>
      <c r="EK12" s="23"/>
      <c r="EL12" s="23"/>
      <c r="EM12" s="23">
        <f>SUM(EA12:EL12)</f>
        <v>0</v>
      </c>
      <c r="EO12" s="23"/>
      <c r="EP12" s="23"/>
      <c r="EQ12" s="23"/>
      <c r="ER12" s="23"/>
      <c r="ES12" s="23"/>
      <c r="ET12" s="23"/>
      <c r="EU12" s="23"/>
      <c r="EV12" s="23"/>
      <c r="EW12" s="23"/>
      <c r="EX12" s="23"/>
      <c r="EY12" s="23"/>
      <c r="EZ12" s="23"/>
      <c r="FA12" s="23">
        <f>SUM(EO12:EZ12)</f>
        <v>0</v>
      </c>
    </row>
    <row r="13" spans="1:157" hidden="1" x14ac:dyDescent="0.25">
      <c r="C13" s="22" t="s">
        <v>12</v>
      </c>
      <c r="E13" s="23"/>
      <c r="F13" s="23"/>
      <c r="G13" s="23"/>
      <c r="H13" s="23"/>
      <c r="I13" s="23"/>
      <c r="J13" s="23"/>
      <c r="K13" s="23"/>
      <c r="L13" s="23"/>
      <c r="M13" s="23"/>
      <c r="N13" s="23"/>
      <c r="O13" s="23"/>
      <c r="P13" s="23"/>
      <c r="Q13" s="23">
        <f t="shared" si="11"/>
        <v>0</v>
      </c>
      <c r="S13" s="23"/>
      <c r="T13" s="23"/>
      <c r="U13" s="23"/>
      <c r="V13" s="23"/>
      <c r="W13" s="23"/>
      <c r="X13" s="23"/>
      <c r="Y13" s="23"/>
      <c r="Z13" s="23"/>
      <c r="AA13" s="23"/>
      <c r="AB13" s="23"/>
      <c r="AC13" s="23"/>
      <c r="AD13" s="23"/>
      <c r="AE13" s="23">
        <f t="shared" ref="AE13" si="22">SUM(S13:AD13)</f>
        <v>0</v>
      </c>
      <c r="AG13" s="23"/>
      <c r="AH13" s="23"/>
      <c r="AI13" s="23"/>
      <c r="AJ13" s="23"/>
      <c r="AK13" s="23"/>
      <c r="AL13" s="23"/>
      <c r="AM13" s="23"/>
      <c r="AN13" s="23"/>
      <c r="AO13" s="23"/>
      <c r="AP13" s="23"/>
      <c r="AQ13" s="23"/>
      <c r="AR13" s="23"/>
      <c r="AS13" s="23">
        <f t="shared" ref="AS13" si="23">SUM(AG13:AR13)</f>
        <v>0</v>
      </c>
      <c r="AU13" s="23"/>
      <c r="AV13" s="23"/>
      <c r="AW13" s="23"/>
      <c r="AX13" s="23"/>
      <c r="AY13" s="23"/>
      <c r="AZ13" s="23"/>
      <c r="BA13" s="23"/>
      <c r="BB13" s="23"/>
      <c r="BC13" s="23"/>
      <c r="BD13" s="23"/>
      <c r="BE13" s="23"/>
      <c r="BF13" s="23"/>
      <c r="BG13" s="23">
        <f t="shared" ref="BG13" si="24">SUM(AU13:BF13)</f>
        <v>0</v>
      </c>
      <c r="BI13" s="23"/>
      <c r="BJ13" s="23"/>
      <c r="BK13" s="23"/>
      <c r="BL13" s="23"/>
      <c r="BM13" s="23"/>
      <c r="BN13" s="23"/>
      <c r="BO13" s="23"/>
      <c r="BP13" s="23"/>
      <c r="BQ13" s="23"/>
      <c r="BR13" s="23"/>
      <c r="BS13" s="23"/>
      <c r="BT13" s="23"/>
      <c r="BU13" s="23">
        <f t="shared" ref="BU13" si="25">SUM(BI13:BT13)</f>
        <v>0</v>
      </c>
      <c r="BW13" s="23"/>
      <c r="BX13" s="23"/>
      <c r="BY13" s="23"/>
      <c r="BZ13" s="23"/>
      <c r="CA13" s="23"/>
      <c r="CB13" s="23"/>
      <c r="CC13" s="23"/>
      <c r="CD13" s="23"/>
      <c r="CE13" s="23"/>
      <c r="CF13" s="23"/>
      <c r="CG13" s="23"/>
      <c r="CH13" s="23"/>
      <c r="CI13" s="23">
        <f t="shared" ref="CI13" si="26">SUM(BW13:CH13)</f>
        <v>0</v>
      </c>
      <c r="CK13" s="23"/>
      <c r="CL13" s="23"/>
      <c r="CM13" s="23"/>
      <c r="CN13" s="23"/>
      <c r="CO13" s="23"/>
      <c r="CP13" s="23"/>
      <c r="CQ13" s="23"/>
      <c r="CR13" s="23"/>
      <c r="CS13" s="23"/>
      <c r="CT13" s="23"/>
      <c r="CU13" s="23"/>
      <c r="CV13" s="23"/>
      <c r="CW13" s="23">
        <f t="shared" ref="CW13" si="27">SUM(CK13:CV13)</f>
        <v>0</v>
      </c>
      <c r="CY13" s="23"/>
      <c r="CZ13" s="23"/>
      <c r="DA13" s="23"/>
      <c r="DB13" s="23"/>
      <c r="DC13" s="23"/>
      <c r="DD13" s="23"/>
      <c r="DE13" s="23"/>
      <c r="DF13" s="23"/>
      <c r="DG13" s="23"/>
      <c r="DH13" s="23"/>
      <c r="DI13" s="23"/>
      <c r="DJ13" s="23"/>
      <c r="DK13" s="23">
        <f t="shared" ref="DK13" si="28">SUM(CY13:DJ13)</f>
        <v>0</v>
      </c>
      <c r="DM13" s="23"/>
      <c r="DN13" s="23"/>
      <c r="DO13" s="23"/>
      <c r="DP13" s="23"/>
      <c r="DQ13" s="23"/>
      <c r="DR13" s="23"/>
      <c r="DS13" s="23"/>
      <c r="DT13" s="23"/>
      <c r="DU13" s="23"/>
      <c r="DV13" s="23"/>
      <c r="DW13" s="23"/>
      <c r="DX13" s="23"/>
      <c r="DY13" s="23">
        <f t="shared" ref="DY13" si="29">SUM(DM13:DX13)</f>
        <v>0</v>
      </c>
      <c r="EA13" s="23"/>
      <c r="EB13" s="23"/>
      <c r="EC13" s="23"/>
      <c r="ED13" s="23"/>
      <c r="EE13" s="23"/>
      <c r="EF13" s="23"/>
      <c r="EG13" s="23"/>
      <c r="EH13" s="23"/>
      <c r="EI13" s="23"/>
      <c r="EJ13" s="23"/>
      <c r="EK13" s="23"/>
      <c r="EL13" s="23"/>
      <c r="EM13" s="23">
        <f t="shared" ref="EM13" si="30">SUM(EA13:EL13)</f>
        <v>0</v>
      </c>
      <c r="EO13" s="23"/>
      <c r="EP13" s="23"/>
      <c r="EQ13" s="23"/>
      <c r="ER13" s="23"/>
      <c r="ES13" s="23"/>
      <c r="ET13" s="23"/>
      <c r="EU13" s="23"/>
      <c r="EV13" s="23"/>
      <c r="EW13" s="23"/>
      <c r="EX13" s="23"/>
      <c r="EY13" s="23"/>
      <c r="EZ13" s="23"/>
      <c r="FA13" s="23">
        <f t="shared" ref="FA13" si="31">SUM(EO13:EZ13)</f>
        <v>0</v>
      </c>
    </row>
    <row r="14" spans="1:157" hidden="1" x14ac:dyDescent="0.25">
      <c r="C14" s="22" t="s">
        <v>12</v>
      </c>
      <c r="E14" s="23"/>
      <c r="F14" s="23"/>
      <c r="G14" s="23"/>
      <c r="H14" s="23"/>
      <c r="I14" s="23"/>
      <c r="J14" s="23"/>
      <c r="K14" s="23"/>
      <c r="L14" s="23"/>
      <c r="M14" s="23"/>
      <c r="N14" s="23"/>
      <c r="O14" s="23"/>
      <c r="P14" s="23"/>
      <c r="Q14" s="23">
        <f t="shared" ref="Q14:Q21" si="32">SUM(E14:P14)</f>
        <v>0</v>
      </c>
      <c r="S14" s="23"/>
      <c r="T14" s="23"/>
      <c r="U14" s="23"/>
      <c r="V14" s="23"/>
      <c r="W14" s="23"/>
      <c r="X14" s="23"/>
      <c r="Y14" s="23"/>
      <c r="Z14" s="23"/>
      <c r="AA14" s="23"/>
      <c r="AB14" s="23"/>
      <c r="AC14" s="23"/>
      <c r="AD14" s="23"/>
      <c r="AE14" s="23">
        <f t="shared" ref="AE14:AE21" si="33">SUM(S14:AD14)</f>
        <v>0</v>
      </c>
      <c r="AG14" s="23"/>
      <c r="AH14" s="23"/>
      <c r="AI14" s="23"/>
      <c r="AJ14" s="23"/>
      <c r="AK14" s="23"/>
      <c r="AL14" s="23"/>
      <c r="AM14" s="23"/>
      <c r="AN14" s="23"/>
      <c r="AO14" s="23"/>
      <c r="AP14" s="23"/>
      <c r="AQ14" s="23"/>
      <c r="AR14" s="23"/>
      <c r="AS14" s="23">
        <f t="shared" ref="AS14:AS21" si="34">SUM(AG14:AR14)</f>
        <v>0</v>
      </c>
      <c r="AU14" s="23"/>
      <c r="AV14" s="23"/>
      <c r="AW14" s="23"/>
      <c r="AX14" s="23"/>
      <c r="AY14" s="23"/>
      <c r="AZ14" s="23"/>
      <c r="BA14" s="23"/>
      <c r="BB14" s="23"/>
      <c r="BC14" s="23"/>
      <c r="BD14" s="23"/>
      <c r="BE14" s="23"/>
      <c r="BF14" s="23"/>
      <c r="BG14" s="23">
        <f t="shared" ref="BG14:BG21" si="35">SUM(AU14:BF14)</f>
        <v>0</v>
      </c>
      <c r="BI14" s="23"/>
      <c r="BJ14" s="23"/>
      <c r="BK14" s="23"/>
      <c r="BL14" s="23"/>
      <c r="BM14" s="23"/>
      <c r="BN14" s="23"/>
      <c r="BO14" s="23"/>
      <c r="BP14" s="23"/>
      <c r="BQ14" s="23"/>
      <c r="BR14" s="23"/>
      <c r="BS14" s="23"/>
      <c r="BT14" s="23"/>
      <c r="BU14" s="23">
        <f t="shared" ref="BU14:BU21" si="36">SUM(BI14:BT14)</f>
        <v>0</v>
      </c>
      <c r="BW14" s="23"/>
      <c r="BX14" s="23"/>
      <c r="BY14" s="23"/>
      <c r="BZ14" s="23"/>
      <c r="CA14" s="23"/>
      <c r="CB14" s="23"/>
      <c r="CC14" s="23"/>
      <c r="CD14" s="23"/>
      <c r="CE14" s="23"/>
      <c r="CF14" s="23"/>
      <c r="CG14" s="23"/>
      <c r="CH14" s="23"/>
      <c r="CI14" s="23">
        <f t="shared" ref="CI14:CI21" si="37">SUM(BW14:CH14)</f>
        <v>0</v>
      </c>
      <c r="CK14" s="23"/>
      <c r="CL14" s="23"/>
      <c r="CM14" s="23"/>
      <c r="CN14" s="23"/>
      <c r="CO14" s="23"/>
      <c r="CP14" s="23"/>
      <c r="CQ14" s="23"/>
      <c r="CR14" s="23"/>
      <c r="CS14" s="23"/>
      <c r="CT14" s="23"/>
      <c r="CU14" s="23"/>
      <c r="CV14" s="23"/>
      <c r="CW14" s="23">
        <f t="shared" ref="CW14:CW21" si="38">SUM(CK14:CV14)</f>
        <v>0</v>
      </c>
      <c r="CY14" s="23"/>
      <c r="CZ14" s="23"/>
      <c r="DA14" s="23"/>
      <c r="DB14" s="23"/>
      <c r="DC14" s="23"/>
      <c r="DD14" s="23"/>
      <c r="DE14" s="23"/>
      <c r="DF14" s="23"/>
      <c r="DG14" s="23"/>
      <c r="DH14" s="23"/>
      <c r="DI14" s="23"/>
      <c r="DJ14" s="23"/>
      <c r="DK14" s="23">
        <f t="shared" ref="DK14:DK21" si="39">SUM(CY14:DJ14)</f>
        <v>0</v>
      </c>
      <c r="DM14" s="23"/>
      <c r="DN14" s="23"/>
      <c r="DO14" s="23"/>
      <c r="DP14" s="23"/>
      <c r="DQ14" s="23"/>
      <c r="DR14" s="23"/>
      <c r="DS14" s="23"/>
      <c r="DT14" s="23"/>
      <c r="DU14" s="23"/>
      <c r="DV14" s="23"/>
      <c r="DW14" s="23"/>
      <c r="DX14" s="23"/>
      <c r="DY14" s="23">
        <f t="shared" ref="DY14:DY21" si="40">SUM(DM14:DX14)</f>
        <v>0</v>
      </c>
      <c r="EA14" s="23"/>
      <c r="EB14" s="23"/>
      <c r="EC14" s="23"/>
      <c r="ED14" s="23"/>
      <c r="EE14" s="23"/>
      <c r="EF14" s="23"/>
      <c r="EG14" s="23"/>
      <c r="EH14" s="23"/>
      <c r="EI14" s="23"/>
      <c r="EJ14" s="23"/>
      <c r="EK14" s="23"/>
      <c r="EL14" s="23"/>
      <c r="EM14" s="23">
        <f t="shared" ref="EM14:EM21" si="41">SUM(EA14:EL14)</f>
        <v>0</v>
      </c>
      <c r="EO14" s="23"/>
      <c r="EP14" s="23"/>
      <c r="EQ14" s="23"/>
      <c r="ER14" s="23"/>
      <c r="ES14" s="23"/>
      <c r="ET14" s="23"/>
      <c r="EU14" s="23"/>
      <c r="EV14" s="23"/>
      <c r="EW14" s="23"/>
      <c r="EX14" s="23"/>
      <c r="EY14" s="23"/>
      <c r="EZ14" s="23"/>
      <c r="FA14" s="23">
        <f t="shared" ref="FA14:FA21" si="42">SUM(EO14:EZ14)</f>
        <v>0</v>
      </c>
    </row>
    <row r="15" spans="1:157" hidden="1" x14ac:dyDescent="0.25">
      <c r="C15" s="22" t="s">
        <v>12</v>
      </c>
      <c r="E15" s="23"/>
      <c r="F15" s="23"/>
      <c r="G15" s="23"/>
      <c r="H15" s="23"/>
      <c r="I15" s="23"/>
      <c r="J15" s="23"/>
      <c r="K15" s="23"/>
      <c r="L15" s="23"/>
      <c r="M15" s="23"/>
      <c r="N15" s="23"/>
      <c r="O15" s="23"/>
      <c r="P15" s="23"/>
      <c r="Q15" s="23">
        <f t="shared" si="32"/>
        <v>0</v>
      </c>
      <c r="S15" s="23"/>
      <c r="T15" s="23"/>
      <c r="U15" s="23"/>
      <c r="V15" s="23"/>
      <c r="W15" s="23"/>
      <c r="X15" s="23"/>
      <c r="Y15" s="23"/>
      <c r="Z15" s="23"/>
      <c r="AA15" s="23"/>
      <c r="AB15" s="23"/>
      <c r="AC15" s="23"/>
      <c r="AD15" s="23"/>
      <c r="AE15" s="23">
        <f t="shared" si="33"/>
        <v>0</v>
      </c>
      <c r="AG15" s="23"/>
      <c r="AH15" s="23"/>
      <c r="AI15" s="23"/>
      <c r="AJ15" s="23"/>
      <c r="AK15" s="23"/>
      <c r="AL15" s="23"/>
      <c r="AM15" s="23"/>
      <c r="AN15" s="23"/>
      <c r="AO15" s="23"/>
      <c r="AP15" s="23"/>
      <c r="AQ15" s="23"/>
      <c r="AR15" s="23"/>
      <c r="AS15" s="23">
        <f t="shared" si="34"/>
        <v>0</v>
      </c>
      <c r="AU15" s="23"/>
      <c r="AV15" s="23"/>
      <c r="AW15" s="23"/>
      <c r="AX15" s="23"/>
      <c r="AY15" s="23"/>
      <c r="AZ15" s="23"/>
      <c r="BA15" s="23"/>
      <c r="BB15" s="23"/>
      <c r="BC15" s="23"/>
      <c r="BD15" s="23"/>
      <c r="BE15" s="23"/>
      <c r="BF15" s="23"/>
      <c r="BG15" s="23">
        <f t="shared" si="35"/>
        <v>0</v>
      </c>
      <c r="BI15" s="23"/>
      <c r="BJ15" s="23"/>
      <c r="BK15" s="23"/>
      <c r="BL15" s="23"/>
      <c r="BM15" s="23"/>
      <c r="BN15" s="23"/>
      <c r="BO15" s="23"/>
      <c r="BP15" s="23"/>
      <c r="BQ15" s="23"/>
      <c r="BR15" s="23"/>
      <c r="BS15" s="23"/>
      <c r="BT15" s="23"/>
      <c r="BU15" s="23">
        <f t="shared" si="36"/>
        <v>0</v>
      </c>
      <c r="BW15" s="23"/>
      <c r="BX15" s="23"/>
      <c r="BY15" s="23"/>
      <c r="BZ15" s="23"/>
      <c r="CA15" s="23"/>
      <c r="CB15" s="23"/>
      <c r="CC15" s="23"/>
      <c r="CD15" s="23"/>
      <c r="CE15" s="23"/>
      <c r="CF15" s="23"/>
      <c r="CG15" s="23"/>
      <c r="CH15" s="23"/>
      <c r="CI15" s="23">
        <f t="shared" si="37"/>
        <v>0</v>
      </c>
      <c r="CK15" s="23"/>
      <c r="CL15" s="23"/>
      <c r="CM15" s="23"/>
      <c r="CN15" s="23"/>
      <c r="CO15" s="23"/>
      <c r="CP15" s="23"/>
      <c r="CQ15" s="23"/>
      <c r="CR15" s="23"/>
      <c r="CS15" s="23"/>
      <c r="CT15" s="23"/>
      <c r="CU15" s="23"/>
      <c r="CV15" s="23"/>
      <c r="CW15" s="23">
        <f t="shared" si="38"/>
        <v>0</v>
      </c>
      <c r="CY15" s="23"/>
      <c r="CZ15" s="23"/>
      <c r="DA15" s="23"/>
      <c r="DB15" s="23"/>
      <c r="DC15" s="23"/>
      <c r="DD15" s="23"/>
      <c r="DE15" s="23"/>
      <c r="DF15" s="23"/>
      <c r="DG15" s="23"/>
      <c r="DH15" s="23"/>
      <c r="DI15" s="23"/>
      <c r="DJ15" s="23"/>
      <c r="DK15" s="23">
        <f t="shared" si="39"/>
        <v>0</v>
      </c>
      <c r="DM15" s="23"/>
      <c r="DN15" s="23"/>
      <c r="DO15" s="23"/>
      <c r="DP15" s="23"/>
      <c r="DQ15" s="23"/>
      <c r="DR15" s="23"/>
      <c r="DS15" s="23"/>
      <c r="DT15" s="23"/>
      <c r="DU15" s="23"/>
      <c r="DV15" s="23"/>
      <c r="DW15" s="23"/>
      <c r="DX15" s="23"/>
      <c r="DY15" s="23">
        <f t="shared" si="40"/>
        <v>0</v>
      </c>
      <c r="EA15" s="23"/>
      <c r="EB15" s="23"/>
      <c r="EC15" s="23"/>
      <c r="ED15" s="23"/>
      <c r="EE15" s="23"/>
      <c r="EF15" s="23"/>
      <c r="EG15" s="23"/>
      <c r="EH15" s="23"/>
      <c r="EI15" s="23"/>
      <c r="EJ15" s="23"/>
      <c r="EK15" s="23"/>
      <c r="EL15" s="23"/>
      <c r="EM15" s="23">
        <f t="shared" si="41"/>
        <v>0</v>
      </c>
      <c r="EO15" s="23"/>
      <c r="EP15" s="23"/>
      <c r="EQ15" s="23"/>
      <c r="ER15" s="23"/>
      <c r="ES15" s="23"/>
      <c r="ET15" s="23"/>
      <c r="EU15" s="23"/>
      <c r="EV15" s="23"/>
      <c r="EW15" s="23"/>
      <c r="EX15" s="23"/>
      <c r="EY15" s="23"/>
      <c r="EZ15" s="23"/>
      <c r="FA15" s="23">
        <f t="shared" si="42"/>
        <v>0</v>
      </c>
    </row>
    <row r="16" spans="1:157" hidden="1" x14ac:dyDescent="0.25">
      <c r="C16" s="22" t="s">
        <v>12</v>
      </c>
      <c r="E16" s="23"/>
      <c r="F16" s="23"/>
      <c r="G16" s="23"/>
      <c r="H16" s="23"/>
      <c r="I16" s="23"/>
      <c r="J16" s="23"/>
      <c r="K16" s="23"/>
      <c r="L16" s="23"/>
      <c r="M16" s="23"/>
      <c r="N16" s="23"/>
      <c r="O16" s="23"/>
      <c r="P16" s="23"/>
      <c r="Q16" s="23">
        <f t="shared" si="32"/>
        <v>0</v>
      </c>
      <c r="S16" s="23"/>
      <c r="T16" s="23"/>
      <c r="U16" s="23"/>
      <c r="V16" s="23"/>
      <c r="W16" s="23"/>
      <c r="X16" s="23"/>
      <c r="Y16" s="23"/>
      <c r="Z16" s="23"/>
      <c r="AA16" s="23"/>
      <c r="AB16" s="23"/>
      <c r="AC16" s="23"/>
      <c r="AD16" s="23"/>
      <c r="AE16" s="23">
        <f t="shared" si="33"/>
        <v>0</v>
      </c>
      <c r="AG16" s="23"/>
      <c r="AH16" s="23"/>
      <c r="AI16" s="23"/>
      <c r="AJ16" s="23"/>
      <c r="AK16" s="23"/>
      <c r="AL16" s="23"/>
      <c r="AM16" s="23"/>
      <c r="AN16" s="23"/>
      <c r="AO16" s="23"/>
      <c r="AP16" s="23"/>
      <c r="AQ16" s="23"/>
      <c r="AR16" s="23"/>
      <c r="AS16" s="23">
        <f t="shared" si="34"/>
        <v>0</v>
      </c>
      <c r="AU16" s="23"/>
      <c r="AV16" s="23"/>
      <c r="AW16" s="23"/>
      <c r="AX16" s="23"/>
      <c r="AY16" s="23"/>
      <c r="AZ16" s="23"/>
      <c r="BA16" s="23"/>
      <c r="BB16" s="23"/>
      <c r="BC16" s="23"/>
      <c r="BD16" s="23"/>
      <c r="BE16" s="23"/>
      <c r="BF16" s="23"/>
      <c r="BG16" s="23">
        <f t="shared" si="35"/>
        <v>0</v>
      </c>
      <c r="BI16" s="23"/>
      <c r="BJ16" s="23"/>
      <c r="BK16" s="23"/>
      <c r="BL16" s="23"/>
      <c r="BM16" s="23"/>
      <c r="BN16" s="23"/>
      <c r="BO16" s="23"/>
      <c r="BP16" s="23"/>
      <c r="BQ16" s="23"/>
      <c r="BR16" s="23"/>
      <c r="BS16" s="23"/>
      <c r="BT16" s="23"/>
      <c r="BU16" s="23">
        <f t="shared" si="36"/>
        <v>0</v>
      </c>
      <c r="BW16" s="23"/>
      <c r="BX16" s="23"/>
      <c r="BY16" s="23"/>
      <c r="BZ16" s="23"/>
      <c r="CA16" s="23"/>
      <c r="CB16" s="23"/>
      <c r="CC16" s="23"/>
      <c r="CD16" s="23"/>
      <c r="CE16" s="23"/>
      <c r="CF16" s="23"/>
      <c r="CG16" s="23"/>
      <c r="CH16" s="23"/>
      <c r="CI16" s="23">
        <f t="shared" si="37"/>
        <v>0</v>
      </c>
      <c r="CK16" s="23"/>
      <c r="CL16" s="23"/>
      <c r="CM16" s="23"/>
      <c r="CN16" s="23"/>
      <c r="CO16" s="23"/>
      <c r="CP16" s="23"/>
      <c r="CQ16" s="23"/>
      <c r="CR16" s="23"/>
      <c r="CS16" s="23"/>
      <c r="CT16" s="23"/>
      <c r="CU16" s="23"/>
      <c r="CV16" s="23"/>
      <c r="CW16" s="23">
        <f t="shared" si="38"/>
        <v>0</v>
      </c>
      <c r="CY16" s="23"/>
      <c r="CZ16" s="23"/>
      <c r="DA16" s="23"/>
      <c r="DB16" s="23"/>
      <c r="DC16" s="23"/>
      <c r="DD16" s="23"/>
      <c r="DE16" s="23"/>
      <c r="DF16" s="23"/>
      <c r="DG16" s="23"/>
      <c r="DH16" s="23"/>
      <c r="DI16" s="23"/>
      <c r="DJ16" s="23"/>
      <c r="DK16" s="23">
        <f t="shared" si="39"/>
        <v>0</v>
      </c>
      <c r="DM16" s="23"/>
      <c r="DN16" s="23"/>
      <c r="DO16" s="23"/>
      <c r="DP16" s="23"/>
      <c r="DQ16" s="23"/>
      <c r="DR16" s="23"/>
      <c r="DS16" s="23"/>
      <c r="DT16" s="23"/>
      <c r="DU16" s="23"/>
      <c r="DV16" s="23"/>
      <c r="DW16" s="23"/>
      <c r="DX16" s="23"/>
      <c r="DY16" s="23">
        <f t="shared" si="40"/>
        <v>0</v>
      </c>
      <c r="EA16" s="23"/>
      <c r="EB16" s="23"/>
      <c r="EC16" s="23"/>
      <c r="ED16" s="23"/>
      <c r="EE16" s="23"/>
      <c r="EF16" s="23"/>
      <c r="EG16" s="23"/>
      <c r="EH16" s="23"/>
      <c r="EI16" s="23"/>
      <c r="EJ16" s="23"/>
      <c r="EK16" s="23"/>
      <c r="EL16" s="23"/>
      <c r="EM16" s="23">
        <f t="shared" si="41"/>
        <v>0</v>
      </c>
      <c r="EO16" s="23"/>
      <c r="EP16" s="23"/>
      <c r="EQ16" s="23"/>
      <c r="ER16" s="23"/>
      <c r="ES16" s="23"/>
      <c r="ET16" s="23"/>
      <c r="EU16" s="23"/>
      <c r="EV16" s="23"/>
      <c r="EW16" s="23"/>
      <c r="EX16" s="23"/>
      <c r="EY16" s="23"/>
      <c r="EZ16" s="23"/>
      <c r="FA16" s="23">
        <f t="shared" si="42"/>
        <v>0</v>
      </c>
    </row>
    <row r="17" spans="3:157" hidden="1" x14ac:dyDescent="0.25">
      <c r="C17" s="22" t="s">
        <v>12</v>
      </c>
      <c r="E17" s="23"/>
      <c r="F17" s="23"/>
      <c r="G17" s="23"/>
      <c r="H17" s="23"/>
      <c r="I17" s="23"/>
      <c r="J17" s="23"/>
      <c r="K17" s="23"/>
      <c r="L17" s="23"/>
      <c r="M17" s="23"/>
      <c r="N17" s="23"/>
      <c r="O17" s="23"/>
      <c r="P17" s="23"/>
      <c r="Q17" s="23">
        <f t="shared" si="32"/>
        <v>0</v>
      </c>
      <c r="S17" s="23"/>
      <c r="T17" s="23"/>
      <c r="U17" s="23"/>
      <c r="V17" s="23"/>
      <c r="W17" s="23"/>
      <c r="X17" s="23"/>
      <c r="Y17" s="23"/>
      <c r="Z17" s="23"/>
      <c r="AA17" s="23"/>
      <c r="AB17" s="23"/>
      <c r="AC17" s="23"/>
      <c r="AD17" s="23"/>
      <c r="AE17" s="23">
        <f t="shared" si="33"/>
        <v>0</v>
      </c>
      <c r="AG17" s="23"/>
      <c r="AH17" s="23"/>
      <c r="AI17" s="23"/>
      <c r="AJ17" s="23"/>
      <c r="AK17" s="23"/>
      <c r="AL17" s="23"/>
      <c r="AM17" s="23"/>
      <c r="AN17" s="23"/>
      <c r="AO17" s="23"/>
      <c r="AP17" s="23"/>
      <c r="AQ17" s="23"/>
      <c r="AR17" s="23"/>
      <c r="AS17" s="23">
        <f t="shared" si="34"/>
        <v>0</v>
      </c>
      <c r="AU17" s="23"/>
      <c r="AV17" s="23"/>
      <c r="AW17" s="23"/>
      <c r="AX17" s="23"/>
      <c r="AY17" s="23"/>
      <c r="AZ17" s="23"/>
      <c r="BA17" s="23"/>
      <c r="BB17" s="23"/>
      <c r="BC17" s="23"/>
      <c r="BD17" s="23"/>
      <c r="BE17" s="23"/>
      <c r="BF17" s="23"/>
      <c r="BG17" s="23">
        <f t="shared" si="35"/>
        <v>0</v>
      </c>
      <c r="BI17" s="23"/>
      <c r="BJ17" s="23"/>
      <c r="BK17" s="23"/>
      <c r="BL17" s="23"/>
      <c r="BM17" s="23"/>
      <c r="BN17" s="23"/>
      <c r="BO17" s="23"/>
      <c r="BP17" s="23"/>
      <c r="BQ17" s="23"/>
      <c r="BR17" s="23"/>
      <c r="BS17" s="23"/>
      <c r="BT17" s="23"/>
      <c r="BU17" s="23">
        <f t="shared" si="36"/>
        <v>0</v>
      </c>
      <c r="BW17" s="23"/>
      <c r="BX17" s="23"/>
      <c r="BY17" s="23"/>
      <c r="BZ17" s="23"/>
      <c r="CA17" s="23"/>
      <c r="CB17" s="23"/>
      <c r="CC17" s="23"/>
      <c r="CD17" s="23"/>
      <c r="CE17" s="23"/>
      <c r="CF17" s="23"/>
      <c r="CG17" s="23"/>
      <c r="CH17" s="23"/>
      <c r="CI17" s="23">
        <f t="shared" si="37"/>
        <v>0</v>
      </c>
      <c r="CK17" s="23"/>
      <c r="CL17" s="23"/>
      <c r="CM17" s="23"/>
      <c r="CN17" s="23"/>
      <c r="CO17" s="23"/>
      <c r="CP17" s="23"/>
      <c r="CQ17" s="23"/>
      <c r="CR17" s="23"/>
      <c r="CS17" s="23"/>
      <c r="CT17" s="23"/>
      <c r="CU17" s="23"/>
      <c r="CV17" s="23"/>
      <c r="CW17" s="23">
        <f t="shared" si="38"/>
        <v>0</v>
      </c>
      <c r="CY17" s="23"/>
      <c r="CZ17" s="23"/>
      <c r="DA17" s="23"/>
      <c r="DB17" s="23"/>
      <c r="DC17" s="23"/>
      <c r="DD17" s="23"/>
      <c r="DE17" s="23"/>
      <c r="DF17" s="23"/>
      <c r="DG17" s="23"/>
      <c r="DH17" s="23"/>
      <c r="DI17" s="23"/>
      <c r="DJ17" s="23"/>
      <c r="DK17" s="23">
        <f t="shared" si="39"/>
        <v>0</v>
      </c>
      <c r="DM17" s="23"/>
      <c r="DN17" s="23"/>
      <c r="DO17" s="23"/>
      <c r="DP17" s="23"/>
      <c r="DQ17" s="23"/>
      <c r="DR17" s="23"/>
      <c r="DS17" s="23"/>
      <c r="DT17" s="23"/>
      <c r="DU17" s="23"/>
      <c r="DV17" s="23"/>
      <c r="DW17" s="23"/>
      <c r="DX17" s="23"/>
      <c r="DY17" s="23">
        <f t="shared" si="40"/>
        <v>0</v>
      </c>
      <c r="EA17" s="23"/>
      <c r="EB17" s="23"/>
      <c r="EC17" s="23"/>
      <c r="ED17" s="23"/>
      <c r="EE17" s="23"/>
      <c r="EF17" s="23"/>
      <c r="EG17" s="23"/>
      <c r="EH17" s="23"/>
      <c r="EI17" s="23"/>
      <c r="EJ17" s="23"/>
      <c r="EK17" s="23"/>
      <c r="EL17" s="23"/>
      <c r="EM17" s="23">
        <f t="shared" si="41"/>
        <v>0</v>
      </c>
      <c r="EO17" s="23"/>
      <c r="EP17" s="23"/>
      <c r="EQ17" s="23"/>
      <c r="ER17" s="23"/>
      <c r="ES17" s="23"/>
      <c r="ET17" s="23"/>
      <c r="EU17" s="23"/>
      <c r="EV17" s="23"/>
      <c r="EW17" s="23"/>
      <c r="EX17" s="23"/>
      <c r="EY17" s="23"/>
      <c r="EZ17" s="23"/>
      <c r="FA17" s="23">
        <f t="shared" si="42"/>
        <v>0</v>
      </c>
    </row>
    <row r="18" spans="3:157" hidden="1" x14ac:dyDescent="0.25">
      <c r="C18" s="22" t="s">
        <v>12</v>
      </c>
      <c r="E18" s="23"/>
      <c r="F18" s="23"/>
      <c r="G18" s="23"/>
      <c r="H18" s="23"/>
      <c r="I18" s="23"/>
      <c r="J18" s="23"/>
      <c r="K18" s="23"/>
      <c r="L18" s="23"/>
      <c r="M18" s="23"/>
      <c r="N18" s="23"/>
      <c r="O18" s="23"/>
      <c r="P18" s="23"/>
      <c r="Q18" s="23">
        <f t="shared" si="32"/>
        <v>0</v>
      </c>
      <c r="S18" s="23"/>
      <c r="T18" s="23"/>
      <c r="U18" s="23"/>
      <c r="V18" s="23"/>
      <c r="W18" s="23"/>
      <c r="X18" s="23"/>
      <c r="Y18" s="23"/>
      <c r="Z18" s="23"/>
      <c r="AA18" s="23"/>
      <c r="AB18" s="23"/>
      <c r="AC18" s="23"/>
      <c r="AD18" s="23"/>
      <c r="AE18" s="23">
        <f t="shared" si="33"/>
        <v>0</v>
      </c>
      <c r="AG18" s="23"/>
      <c r="AH18" s="23"/>
      <c r="AI18" s="23"/>
      <c r="AJ18" s="23"/>
      <c r="AK18" s="23"/>
      <c r="AL18" s="23"/>
      <c r="AM18" s="23"/>
      <c r="AN18" s="23"/>
      <c r="AO18" s="23"/>
      <c r="AP18" s="23"/>
      <c r="AQ18" s="23"/>
      <c r="AR18" s="23"/>
      <c r="AS18" s="23">
        <f t="shared" si="34"/>
        <v>0</v>
      </c>
      <c r="AU18" s="23"/>
      <c r="AV18" s="23"/>
      <c r="AW18" s="23"/>
      <c r="AX18" s="23"/>
      <c r="AY18" s="23"/>
      <c r="AZ18" s="23"/>
      <c r="BA18" s="23"/>
      <c r="BB18" s="23"/>
      <c r="BC18" s="23"/>
      <c r="BD18" s="23"/>
      <c r="BE18" s="23"/>
      <c r="BF18" s="23"/>
      <c r="BG18" s="23">
        <f t="shared" si="35"/>
        <v>0</v>
      </c>
      <c r="BI18" s="23"/>
      <c r="BJ18" s="23"/>
      <c r="BK18" s="23"/>
      <c r="BL18" s="23"/>
      <c r="BM18" s="23"/>
      <c r="BN18" s="23"/>
      <c r="BO18" s="23"/>
      <c r="BP18" s="23"/>
      <c r="BQ18" s="23"/>
      <c r="BR18" s="23"/>
      <c r="BS18" s="23"/>
      <c r="BT18" s="23"/>
      <c r="BU18" s="23">
        <f t="shared" si="36"/>
        <v>0</v>
      </c>
      <c r="BW18" s="23"/>
      <c r="BX18" s="23"/>
      <c r="BY18" s="23"/>
      <c r="BZ18" s="23"/>
      <c r="CA18" s="23"/>
      <c r="CB18" s="23"/>
      <c r="CC18" s="23"/>
      <c r="CD18" s="23"/>
      <c r="CE18" s="23"/>
      <c r="CF18" s="23"/>
      <c r="CG18" s="23"/>
      <c r="CH18" s="23"/>
      <c r="CI18" s="23">
        <f t="shared" si="37"/>
        <v>0</v>
      </c>
      <c r="CK18" s="23"/>
      <c r="CL18" s="23"/>
      <c r="CM18" s="23"/>
      <c r="CN18" s="23"/>
      <c r="CO18" s="23"/>
      <c r="CP18" s="23"/>
      <c r="CQ18" s="23"/>
      <c r="CR18" s="23"/>
      <c r="CS18" s="23"/>
      <c r="CT18" s="23"/>
      <c r="CU18" s="23"/>
      <c r="CV18" s="23"/>
      <c r="CW18" s="23">
        <f t="shared" si="38"/>
        <v>0</v>
      </c>
      <c r="CY18" s="23"/>
      <c r="CZ18" s="23"/>
      <c r="DA18" s="23"/>
      <c r="DB18" s="23"/>
      <c r="DC18" s="23"/>
      <c r="DD18" s="23"/>
      <c r="DE18" s="23"/>
      <c r="DF18" s="23"/>
      <c r="DG18" s="23"/>
      <c r="DH18" s="23"/>
      <c r="DI18" s="23"/>
      <c r="DJ18" s="23"/>
      <c r="DK18" s="23">
        <f t="shared" si="39"/>
        <v>0</v>
      </c>
      <c r="DM18" s="23"/>
      <c r="DN18" s="23"/>
      <c r="DO18" s="23"/>
      <c r="DP18" s="23"/>
      <c r="DQ18" s="23"/>
      <c r="DR18" s="23"/>
      <c r="DS18" s="23"/>
      <c r="DT18" s="23"/>
      <c r="DU18" s="23"/>
      <c r="DV18" s="23"/>
      <c r="DW18" s="23"/>
      <c r="DX18" s="23"/>
      <c r="DY18" s="23">
        <f t="shared" si="40"/>
        <v>0</v>
      </c>
      <c r="EA18" s="23"/>
      <c r="EB18" s="23"/>
      <c r="EC18" s="23"/>
      <c r="ED18" s="23"/>
      <c r="EE18" s="23"/>
      <c r="EF18" s="23"/>
      <c r="EG18" s="23"/>
      <c r="EH18" s="23"/>
      <c r="EI18" s="23"/>
      <c r="EJ18" s="23"/>
      <c r="EK18" s="23"/>
      <c r="EL18" s="23"/>
      <c r="EM18" s="23">
        <f t="shared" si="41"/>
        <v>0</v>
      </c>
      <c r="EO18" s="23"/>
      <c r="EP18" s="23"/>
      <c r="EQ18" s="23"/>
      <c r="ER18" s="23"/>
      <c r="ES18" s="23"/>
      <c r="ET18" s="23"/>
      <c r="EU18" s="23"/>
      <c r="EV18" s="23"/>
      <c r="EW18" s="23"/>
      <c r="EX18" s="23"/>
      <c r="EY18" s="23"/>
      <c r="EZ18" s="23"/>
      <c r="FA18" s="23">
        <f t="shared" si="42"/>
        <v>0</v>
      </c>
    </row>
    <row r="19" spans="3:157" hidden="1" x14ac:dyDescent="0.25">
      <c r="C19" s="22" t="s">
        <v>12</v>
      </c>
      <c r="E19" s="23"/>
      <c r="F19" s="23"/>
      <c r="G19" s="23"/>
      <c r="H19" s="23"/>
      <c r="I19" s="23"/>
      <c r="J19" s="23"/>
      <c r="K19" s="23"/>
      <c r="L19" s="23"/>
      <c r="M19" s="23"/>
      <c r="N19" s="23"/>
      <c r="O19" s="23"/>
      <c r="P19" s="23"/>
      <c r="Q19" s="23">
        <f t="shared" si="32"/>
        <v>0</v>
      </c>
      <c r="S19" s="23"/>
      <c r="T19" s="23"/>
      <c r="U19" s="23"/>
      <c r="V19" s="23"/>
      <c r="W19" s="23"/>
      <c r="X19" s="23"/>
      <c r="Y19" s="23"/>
      <c r="Z19" s="23"/>
      <c r="AA19" s="23"/>
      <c r="AB19" s="23"/>
      <c r="AC19" s="23"/>
      <c r="AD19" s="23"/>
      <c r="AE19" s="23">
        <f t="shared" si="33"/>
        <v>0</v>
      </c>
      <c r="AG19" s="23"/>
      <c r="AH19" s="23"/>
      <c r="AI19" s="23"/>
      <c r="AJ19" s="23"/>
      <c r="AK19" s="23"/>
      <c r="AL19" s="23"/>
      <c r="AM19" s="23"/>
      <c r="AN19" s="23"/>
      <c r="AO19" s="23"/>
      <c r="AP19" s="23"/>
      <c r="AQ19" s="23"/>
      <c r="AR19" s="23"/>
      <c r="AS19" s="23">
        <f t="shared" si="34"/>
        <v>0</v>
      </c>
      <c r="AU19" s="23"/>
      <c r="AV19" s="23"/>
      <c r="AW19" s="23"/>
      <c r="AX19" s="23"/>
      <c r="AY19" s="23"/>
      <c r="AZ19" s="23"/>
      <c r="BA19" s="23"/>
      <c r="BB19" s="23"/>
      <c r="BC19" s="23"/>
      <c r="BD19" s="23"/>
      <c r="BE19" s="23"/>
      <c r="BF19" s="23"/>
      <c r="BG19" s="23">
        <f t="shared" si="35"/>
        <v>0</v>
      </c>
      <c r="BI19" s="23"/>
      <c r="BJ19" s="23"/>
      <c r="BK19" s="23"/>
      <c r="BL19" s="23"/>
      <c r="BM19" s="23"/>
      <c r="BN19" s="23"/>
      <c r="BO19" s="23"/>
      <c r="BP19" s="23"/>
      <c r="BQ19" s="23"/>
      <c r="BR19" s="23"/>
      <c r="BS19" s="23"/>
      <c r="BT19" s="23"/>
      <c r="BU19" s="23">
        <f t="shared" si="36"/>
        <v>0</v>
      </c>
      <c r="BW19" s="23"/>
      <c r="BX19" s="23"/>
      <c r="BY19" s="23"/>
      <c r="BZ19" s="23"/>
      <c r="CA19" s="23"/>
      <c r="CB19" s="23"/>
      <c r="CC19" s="23"/>
      <c r="CD19" s="23"/>
      <c r="CE19" s="23"/>
      <c r="CF19" s="23"/>
      <c r="CG19" s="23"/>
      <c r="CH19" s="23"/>
      <c r="CI19" s="23">
        <f t="shared" si="37"/>
        <v>0</v>
      </c>
      <c r="CK19" s="23"/>
      <c r="CL19" s="23"/>
      <c r="CM19" s="23"/>
      <c r="CN19" s="23"/>
      <c r="CO19" s="23"/>
      <c r="CP19" s="23"/>
      <c r="CQ19" s="23"/>
      <c r="CR19" s="23"/>
      <c r="CS19" s="23"/>
      <c r="CT19" s="23"/>
      <c r="CU19" s="23"/>
      <c r="CV19" s="23"/>
      <c r="CW19" s="23">
        <f t="shared" si="38"/>
        <v>0</v>
      </c>
      <c r="CY19" s="23"/>
      <c r="CZ19" s="23"/>
      <c r="DA19" s="23"/>
      <c r="DB19" s="23"/>
      <c r="DC19" s="23"/>
      <c r="DD19" s="23"/>
      <c r="DE19" s="23"/>
      <c r="DF19" s="23"/>
      <c r="DG19" s="23"/>
      <c r="DH19" s="23"/>
      <c r="DI19" s="23"/>
      <c r="DJ19" s="23"/>
      <c r="DK19" s="23">
        <f t="shared" si="39"/>
        <v>0</v>
      </c>
      <c r="DM19" s="23"/>
      <c r="DN19" s="23"/>
      <c r="DO19" s="23"/>
      <c r="DP19" s="23"/>
      <c r="DQ19" s="23"/>
      <c r="DR19" s="23"/>
      <c r="DS19" s="23"/>
      <c r="DT19" s="23"/>
      <c r="DU19" s="23"/>
      <c r="DV19" s="23"/>
      <c r="DW19" s="23"/>
      <c r="DX19" s="23"/>
      <c r="DY19" s="23">
        <f t="shared" si="40"/>
        <v>0</v>
      </c>
      <c r="EA19" s="23"/>
      <c r="EB19" s="23"/>
      <c r="EC19" s="23"/>
      <c r="ED19" s="23"/>
      <c r="EE19" s="23"/>
      <c r="EF19" s="23"/>
      <c r="EG19" s="23"/>
      <c r="EH19" s="23"/>
      <c r="EI19" s="23"/>
      <c r="EJ19" s="23"/>
      <c r="EK19" s="23"/>
      <c r="EL19" s="23"/>
      <c r="EM19" s="23">
        <f t="shared" si="41"/>
        <v>0</v>
      </c>
      <c r="EO19" s="23"/>
      <c r="EP19" s="23"/>
      <c r="EQ19" s="23"/>
      <c r="ER19" s="23"/>
      <c r="ES19" s="23"/>
      <c r="ET19" s="23"/>
      <c r="EU19" s="23"/>
      <c r="EV19" s="23"/>
      <c r="EW19" s="23"/>
      <c r="EX19" s="23"/>
      <c r="EY19" s="23"/>
      <c r="EZ19" s="23"/>
      <c r="FA19" s="23">
        <f t="shared" si="42"/>
        <v>0</v>
      </c>
    </row>
    <row r="20" spans="3:157" hidden="1" x14ac:dyDescent="0.25">
      <c r="C20" s="22" t="s">
        <v>12</v>
      </c>
      <c r="E20" s="23"/>
      <c r="F20" s="23"/>
      <c r="G20" s="23"/>
      <c r="H20" s="23"/>
      <c r="I20" s="23"/>
      <c r="J20" s="23"/>
      <c r="K20" s="23"/>
      <c r="L20" s="23"/>
      <c r="M20" s="23"/>
      <c r="N20" s="23"/>
      <c r="O20" s="23"/>
      <c r="P20" s="23"/>
      <c r="Q20" s="23">
        <f t="shared" si="32"/>
        <v>0</v>
      </c>
      <c r="S20" s="23"/>
      <c r="T20" s="23"/>
      <c r="U20" s="23"/>
      <c r="V20" s="23"/>
      <c r="W20" s="23"/>
      <c r="X20" s="23"/>
      <c r="Y20" s="23"/>
      <c r="Z20" s="23"/>
      <c r="AA20" s="23"/>
      <c r="AB20" s="23"/>
      <c r="AC20" s="23"/>
      <c r="AD20" s="23"/>
      <c r="AE20" s="23">
        <f t="shared" si="33"/>
        <v>0</v>
      </c>
      <c r="AG20" s="23"/>
      <c r="AH20" s="23"/>
      <c r="AI20" s="23"/>
      <c r="AJ20" s="23"/>
      <c r="AK20" s="23"/>
      <c r="AL20" s="23"/>
      <c r="AM20" s="23"/>
      <c r="AN20" s="23"/>
      <c r="AO20" s="23"/>
      <c r="AP20" s="23"/>
      <c r="AQ20" s="23"/>
      <c r="AR20" s="23"/>
      <c r="AS20" s="23">
        <f t="shared" si="34"/>
        <v>0</v>
      </c>
      <c r="AU20" s="23"/>
      <c r="AV20" s="23"/>
      <c r="AW20" s="23"/>
      <c r="AX20" s="23"/>
      <c r="AY20" s="23"/>
      <c r="AZ20" s="23"/>
      <c r="BA20" s="23"/>
      <c r="BB20" s="23"/>
      <c r="BC20" s="23"/>
      <c r="BD20" s="23"/>
      <c r="BE20" s="23"/>
      <c r="BF20" s="23"/>
      <c r="BG20" s="23">
        <f t="shared" si="35"/>
        <v>0</v>
      </c>
      <c r="BI20" s="23"/>
      <c r="BJ20" s="23"/>
      <c r="BK20" s="23"/>
      <c r="BL20" s="23"/>
      <c r="BM20" s="23"/>
      <c r="BN20" s="23"/>
      <c r="BO20" s="23"/>
      <c r="BP20" s="23"/>
      <c r="BQ20" s="23"/>
      <c r="BR20" s="23"/>
      <c r="BS20" s="23"/>
      <c r="BT20" s="23"/>
      <c r="BU20" s="23">
        <f t="shared" si="36"/>
        <v>0</v>
      </c>
      <c r="BW20" s="23"/>
      <c r="BX20" s="23"/>
      <c r="BY20" s="23"/>
      <c r="BZ20" s="23"/>
      <c r="CA20" s="23"/>
      <c r="CB20" s="23"/>
      <c r="CC20" s="23"/>
      <c r="CD20" s="23"/>
      <c r="CE20" s="23"/>
      <c r="CF20" s="23"/>
      <c r="CG20" s="23"/>
      <c r="CH20" s="23"/>
      <c r="CI20" s="23">
        <f t="shared" si="37"/>
        <v>0</v>
      </c>
      <c r="CK20" s="23"/>
      <c r="CL20" s="23"/>
      <c r="CM20" s="23"/>
      <c r="CN20" s="23"/>
      <c r="CO20" s="23"/>
      <c r="CP20" s="23"/>
      <c r="CQ20" s="23"/>
      <c r="CR20" s="23"/>
      <c r="CS20" s="23"/>
      <c r="CT20" s="23"/>
      <c r="CU20" s="23"/>
      <c r="CV20" s="23"/>
      <c r="CW20" s="23">
        <f t="shared" si="38"/>
        <v>0</v>
      </c>
      <c r="CY20" s="23"/>
      <c r="CZ20" s="23"/>
      <c r="DA20" s="23"/>
      <c r="DB20" s="23"/>
      <c r="DC20" s="23"/>
      <c r="DD20" s="23"/>
      <c r="DE20" s="23"/>
      <c r="DF20" s="23"/>
      <c r="DG20" s="23"/>
      <c r="DH20" s="23"/>
      <c r="DI20" s="23"/>
      <c r="DJ20" s="23"/>
      <c r="DK20" s="23">
        <f t="shared" si="39"/>
        <v>0</v>
      </c>
      <c r="DM20" s="23"/>
      <c r="DN20" s="23"/>
      <c r="DO20" s="23"/>
      <c r="DP20" s="23"/>
      <c r="DQ20" s="23"/>
      <c r="DR20" s="23"/>
      <c r="DS20" s="23"/>
      <c r="DT20" s="23"/>
      <c r="DU20" s="23"/>
      <c r="DV20" s="23"/>
      <c r="DW20" s="23"/>
      <c r="DX20" s="23"/>
      <c r="DY20" s="23">
        <f t="shared" si="40"/>
        <v>0</v>
      </c>
      <c r="EA20" s="23"/>
      <c r="EB20" s="23"/>
      <c r="EC20" s="23"/>
      <c r="ED20" s="23"/>
      <c r="EE20" s="23"/>
      <c r="EF20" s="23"/>
      <c r="EG20" s="23"/>
      <c r="EH20" s="23"/>
      <c r="EI20" s="23"/>
      <c r="EJ20" s="23"/>
      <c r="EK20" s="23"/>
      <c r="EL20" s="23"/>
      <c r="EM20" s="23">
        <f t="shared" si="41"/>
        <v>0</v>
      </c>
      <c r="EO20" s="23"/>
      <c r="EP20" s="23"/>
      <c r="EQ20" s="23"/>
      <c r="ER20" s="23"/>
      <c r="ES20" s="23"/>
      <c r="ET20" s="23"/>
      <c r="EU20" s="23"/>
      <c r="EV20" s="23"/>
      <c r="EW20" s="23"/>
      <c r="EX20" s="23"/>
      <c r="EY20" s="23"/>
      <c r="EZ20" s="23"/>
      <c r="FA20" s="23">
        <f t="shared" si="42"/>
        <v>0</v>
      </c>
    </row>
    <row r="21" spans="3:157" hidden="1" x14ac:dyDescent="0.25">
      <c r="C21" s="22" t="s">
        <v>12</v>
      </c>
      <c r="E21" s="23"/>
      <c r="F21" s="23"/>
      <c r="G21" s="23"/>
      <c r="H21" s="23"/>
      <c r="I21" s="23"/>
      <c r="J21" s="23"/>
      <c r="K21" s="23"/>
      <c r="L21" s="23"/>
      <c r="M21" s="23"/>
      <c r="N21" s="23"/>
      <c r="O21" s="23"/>
      <c r="P21" s="23"/>
      <c r="Q21" s="23">
        <f t="shared" si="32"/>
        <v>0</v>
      </c>
      <c r="S21" s="23"/>
      <c r="T21" s="23"/>
      <c r="U21" s="23"/>
      <c r="V21" s="23"/>
      <c r="W21" s="23"/>
      <c r="X21" s="23"/>
      <c r="Y21" s="23"/>
      <c r="Z21" s="23"/>
      <c r="AA21" s="23"/>
      <c r="AB21" s="23"/>
      <c r="AC21" s="23"/>
      <c r="AD21" s="23"/>
      <c r="AE21" s="23">
        <f t="shared" si="33"/>
        <v>0</v>
      </c>
      <c r="AG21" s="23"/>
      <c r="AH21" s="23"/>
      <c r="AI21" s="23"/>
      <c r="AJ21" s="23"/>
      <c r="AK21" s="23"/>
      <c r="AL21" s="23"/>
      <c r="AM21" s="23"/>
      <c r="AN21" s="23"/>
      <c r="AO21" s="23"/>
      <c r="AP21" s="23"/>
      <c r="AQ21" s="23"/>
      <c r="AR21" s="23"/>
      <c r="AS21" s="23">
        <f t="shared" si="34"/>
        <v>0</v>
      </c>
      <c r="AU21" s="23"/>
      <c r="AV21" s="23"/>
      <c r="AW21" s="23"/>
      <c r="AX21" s="23"/>
      <c r="AY21" s="23"/>
      <c r="AZ21" s="23"/>
      <c r="BA21" s="23"/>
      <c r="BB21" s="23"/>
      <c r="BC21" s="23"/>
      <c r="BD21" s="23"/>
      <c r="BE21" s="23"/>
      <c r="BF21" s="23"/>
      <c r="BG21" s="23">
        <f t="shared" si="35"/>
        <v>0</v>
      </c>
      <c r="BI21" s="23"/>
      <c r="BJ21" s="23"/>
      <c r="BK21" s="23"/>
      <c r="BL21" s="23"/>
      <c r="BM21" s="23"/>
      <c r="BN21" s="23"/>
      <c r="BO21" s="23"/>
      <c r="BP21" s="23"/>
      <c r="BQ21" s="23"/>
      <c r="BR21" s="23"/>
      <c r="BS21" s="23"/>
      <c r="BT21" s="23"/>
      <c r="BU21" s="23">
        <f t="shared" si="36"/>
        <v>0</v>
      </c>
      <c r="BW21" s="23"/>
      <c r="BX21" s="23"/>
      <c r="BY21" s="23"/>
      <c r="BZ21" s="23"/>
      <c r="CA21" s="23"/>
      <c r="CB21" s="23"/>
      <c r="CC21" s="23"/>
      <c r="CD21" s="23"/>
      <c r="CE21" s="23"/>
      <c r="CF21" s="23"/>
      <c r="CG21" s="23"/>
      <c r="CH21" s="23"/>
      <c r="CI21" s="23">
        <f t="shared" si="37"/>
        <v>0</v>
      </c>
      <c r="CK21" s="23"/>
      <c r="CL21" s="23"/>
      <c r="CM21" s="23"/>
      <c r="CN21" s="23"/>
      <c r="CO21" s="23"/>
      <c r="CP21" s="23"/>
      <c r="CQ21" s="23"/>
      <c r="CR21" s="23"/>
      <c r="CS21" s="23"/>
      <c r="CT21" s="23"/>
      <c r="CU21" s="23"/>
      <c r="CV21" s="23"/>
      <c r="CW21" s="23">
        <f t="shared" si="38"/>
        <v>0</v>
      </c>
      <c r="CY21" s="23"/>
      <c r="CZ21" s="23"/>
      <c r="DA21" s="23"/>
      <c r="DB21" s="23"/>
      <c r="DC21" s="23"/>
      <c r="DD21" s="23"/>
      <c r="DE21" s="23"/>
      <c r="DF21" s="23"/>
      <c r="DG21" s="23"/>
      <c r="DH21" s="23"/>
      <c r="DI21" s="23"/>
      <c r="DJ21" s="23"/>
      <c r="DK21" s="23">
        <f t="shared" si="39"/>
        <v>0</v>
      </c>
      <c r="DM21" s="23"/>
      <c r="DN21" s="23"/>
      <c r="DO21" s="23"/>
      <c r="DP21" s="23"/>
      <c r="DQ21" s="23"/>
      <c r="DR21" s="23"/>
      <c r="DS21" s="23"/>
      <c r="DT21" s="23"/>
      <c r="DU21" s="23"/>
      <c r="DV21" s="23"/>
      <c r="DW21" s="23"/>
      <c r="DX21" s="23"/>
      <c r="DY21" s="23">
        <f t="shared" si="40"/>
        <v>0</v>
      </c>
      <c r="EA21" s="23"/>
      <c r="EB21" s="23"/>
      <c r="EC21" s="23"/>
      <c r="ED21" s="23"/>
      <c r="EE21" s="23"/>
      <c r="EF21" s="23"/>
      <c r="EG21" s="23"/>
      <c r="EH21" s="23"/>
      <c r="EI21" s="23"/>
      <c r="EJ21" s="23"/>
      <c r="EK21" s="23"/>
      <c r="EL21" s="23"/>
      <c r="EM21" s="23">
        <f t="shared" si="41"/>
        <v>0</v>
      </c>
      <c r="EO21" s="23"/>
      <c r="EP21" s="23"/>
      <c r="EQ21" s="23"/>
      <c r="ER21" s="23"/>
      <c r="ES21" s="23"/>
      <c r="ET21" s="23"/>
      <c r="EU21" s="23"/>
      <c r="EV21" s="23"/>
      <c r="EW21" s="23"/>
      <c r="EX21" s="23"/>
      <c r="EY21" s="23"/>
      <c r="EZ21" s="23"/>
      <c r="FA21" s="23">
        <f t="shared" si="42"/>
        <v>0</v>
      </c>
    </row>
    <row r="22" spans="3:157" x14ac:dyDescent="0.25">
      <c r="C22" s="18" t="s">
        <v>13</v>
      </c>
      <c r="E22" s="29">
        <f t="shared" ref="E22:P22" ca="1" si="43">SUM(INDIRECT(ADDRESS(income_min_row,COLUMN())&amp; ":"&amp; ADDRESS(income_max_row,COLUMN())))</f>
        <v>4650</v>
      </c>
      <c r="F22" s="29">
        <f t="shared" ca="1" si="43"/>
        <v>4550</v>
      </c>
      <c r="G22" s="29">
        <f t="shared" ca="1" si="43"/>
        <v>4600</v>
      </c>
      <c r="H22" s="29">
        <f t="shared" ca="1" si="43"/>
        <v>5650</v>
      </c>
      <c r="I22" s="29">
        <f t="shared" ca="1" si="43"/>
        <v>5550</v>
      </c>
      <c r="J22" s="29">
        <f t="shared" ca="1" si="43"/>
        <v>5600</v>
      </c>
      <c r="K22" s="29">
        <f t="shared" ca="1" si="43"/>
        <v>5650</v>
      </c>
      <c r="L22" s="29">
        <f t="shared" ca="1" si="43"/>
        <v>5550</v>
      </c>
      <c r="M22" s="29">
        <f t="shared" ca="1" si="43"/>
        <v>5600</v>
      </c>
      <c r="N22" s="29">
        <f t="shared" ca="1" si="43"/>
        <v>5650</v>
      </c>
      <c r="O22" s="29">
        <f t="shared" ca="1" si="43"/>
        <v>5550</v>
      </c>
      <c r="P22" s="29">
        <f t="shared" ca="1" si="43"/>
        <v>5600</v>
      </c>
      <c r="Q22" s="36">
        <f t="shared" ref="Q22" ca="1" si="44">SUM(INDIRECT(ADDRESS(income_min_row,COLUMN())&amp; ":"&amp; ADDRESS(income_max_row,COLUMN())))</f>
        <v>64200</v>
      </c>
      <c r="S22" s="29">
        <f ca="1">SUM(INDIRECT(ADDRESS(income_min_row,COLUMN())&amp; ":"&amp; ADDRESS(income_max_row,COLUMN())))</f>
        <v>0</v>
      </c>
      <c r="T22" s="23">
        <f t="shared" ref="T22:AE22" ca="1" si="45">SUM(INDIRECT(ADDRESS(income_min_row,COLUMN())&amp; ":"&amp; ADDRESS(income_max_row,COLUMN())))</f>
        <v>0</v>
      </c>
      <c r="U22" s="23">
        <f t="shared" ca="1" si="45"/>
        <v>0</v>
      </c>
      <c r="V22" s="23">
        <f t="shared" ca="1" si="45"/>
        <v>0</v>
      </c>
      <c r="W22" s="23">
        <f t="shared" ca="1" si="45"/>
        <v>0</v>
      </c>
      <c r="X22" s="23">
        <f t="shared" ca="1" si="45"/>
        <v>0</v>
      </c>
      <c r="Y22" s="23">
        <f t="shared" ca="1" si="45"/>
        <v>0</v>
      </c>
      <c r="Z22" s="23">
        <f t="shared" ca="1" si="45"/>
        <v>0</v>
      </c>
      <c r="AA22" s="23">
        <f t="shared" ca="1" si="45"/>
        <v>0</v>
      </c>
      <c r="AB22" s="23">
        <f t="shared" ca="1" si="45"/>
        <v>0</v>
      </c>
      <c r="AC22" s="23">
        <f t="shared" ca="1" si="45"/>
        <v>0</v>
      </c>
      <c r="AD22" s="23">
        <f t="shared" ca="1" si="45"/>
        <v>0</v>
      </c>
      <c r="AE22" s="23">
        <f t="shared" ca="1" si="45"/>
        <v>0</v>
      </c>
      <c r="AG22" s="29">
        <f ca="1">SUM(INDIRECT(ADDRESS(income_min_row,COLUMN())&amp; ":"&amp; ADDRESS(income_max_row,COLUMN())))</f>
        <v>0</v>
      </c>
      <c r="AH22" s="23">
        <f t="shared" ref="AH22:AS22" ca="1" si="46">SUM(INDIRECT(ADDRESS(income_min_row,COLUMN())&amp; ":"&amp; ADDRESS(income_max_row,COLUMN())))</f>
        <v>0</v>
      </c>
      <c r="AI22" s="23">
        <f t="shared" ca="1" si="46"/>
        <v>0</v>
      </c>
      <c r="AJ22" s="23">
        <f t="shared" ca="1" si="46"/>
        <v>0</v>
      </c>
      <c r="AK22" s="23">
        <f t="shared" ca="1" si="46"/>
        <v>0</v>
      </c>
      <c r="AL22" s="23">
        <f t="shared" ca="1" si="46"/>
        <v>0</v>
      </c>
      <c r="AM22" s="23">
        <f t="shared" ca="1" si="46"/>
        <v>0</v>
      </c>
      <c r="AN22" s="23">
        <f t="shared" ca="1" si="46"/>
        <v>0</v>
      </c>
      <c r="AO22" s="23">
        <f t="shared" ca="1" si="46"/>
        <v>0</v>
      </c>
      <c r="AP22" s="23">
        <f t="shared" ca="1" si="46"/>
        <v>0</v>
      </c>
      <c r="AQ22" s="23">
        <f t="shared" ca="1" si="46"/>
        <v>0</v>
      </c>
      <c r="AR22" s="23">
        <f t="shared" ca="1" si="46"/>
        <v>0</v>
      </c>
      <c r="AS22" s="23">
        <f t="shared" ca="1" si="46"/>
        <v>0</v>
      </c>
      <c r="AU22" s="29">
        <f ca="1">SUM(INDIRECT(ADDRESS(income_min_row,COLUMN())&amp; ":"&amp; ADDRESS(income_max_row,COLUMN())))</f>
        <v>0</v>
      </c>
      <c r="AV22" s="23">
        <f t="shared" ref="AV22:BG22" ca="1" si="47">SUM(INDIRECT(ADDRESS(income_min_row,COLUMN())&amp; ":"&amp; ADDRESS(income_max_row,COLUMN())))</f>
        <v>0</v>
      </c>
      <c r="AW22" s="23">
        <f t="shared" ca="1" si="47"/>
        <v>0</v>
      </c>
      <c r="AX22" s="23">
        <f t="shared" ca="1" si="47"/>
        <v>0</v>
      </c>
      <c r="AY22" s="23">
        <f t="shared" ca="1" si="47"/>
        <v>0</v>
      </c>
      <c r="AZ22" s="23">
        <f t="shared" ca="1" si="47"/>
        <v>0</v>
      </c>
      <c r="BA22" s="23">
        <f t="shared" ca="1" si="47"/>
        <v>0</v>
      </c>
      <c r="BB22" s="23">
        <f t="shared" ca="1" si="47"/>
        <v>0</v>
      </c>
      <c r="BC22" s="23">
        <f t="shared" ca="1" si="47"/>
        <v>0</v>
      </c>
      <c r="BD22" s="23">
        <f t="shared" ca="1" si="47"/>
        <v>0</v>
      </c>
      <c r="BE22" s="23">
        <f t="shared" ca="1" si="47"/>
        <v>0</v>
      </c>
      <c r="BF22" s="23">
        <f t="shared" ca="1" si="47"/>
        <v>0</v>
      </c>
      <c r="BG22" s="23">
        <f t="shared" ca="1" si="47"/>
        <v>0</v>
      </c>
      <c r="BI22" s="29">
        <f ca="1">SUM(INDIRECT(ADDRESS(income_min_row,COLUMN())&amp; ":"&amp; ADDRESS(income_max_row,COLUMN())))</f>
        <v>0</v>
      </c>
      <c r="BJ22" s="23">
        <f t="shared" ref="BJ22:BU22" ca="1" si="48">SUM(INDIRECT(ADDRESS(income_min_row,COLUMN())&amp; ":"&amp; ADDRESS(income_max_row,COLUMN())))</f>
        <v>0</v>
      </c>
      <c r="BK22" s="23">
        <f t="shared" ca="1" si="48"/>
        <v>0</v>
      </c>
      <c r="BL22" s="23">
        <f t="shared" ca="1" si="48"/>
        <v>0</v>
      </c>
      <c r="BM22" s="23">
        <f t="shared" ca="1" si="48"/>
        <v>0</v>
      </c>
      <c r="BN22" s="23">
        <f t="shared" ca="1" si="48"/>
        <v>0</v>
      </c>
      <c r="BO22" s="23">
        <f t="shared" ca="1" si="48"/>
        <v>0</v>
      </c>
      <c r="BP22" s="23">
        <f t="shared" ca="1" si="48"/>
        <v>0</v>
      </c>
      <c r="BQ22" s="23">
        <f t="shared" ca="1" si="48"/>
        <v>0</v>
      </c>
      <c r="BR22" s="23">
        <f t="shared" ca="1" si="48"/>
        <v>0</v>
      </c>
      <c r="BS22" s="23">
        <f t="shared" ca="1" si="48"/>
        <v>0</v>
      </c>
      <c r="BT22" s="23">
        <f t="shared" ca="1" si="48"/>
        <v>0</v>
      </c>
      <c r="BU22" s="23">
        <f t="shared" ca="1" si="48"/>
        <v>0</v>
      </c>
      <c r="BW22" s="29">
        <f ca="1">SUM(INDIRECT(ADDRESS(income_min_row,COLUMN())&amp; ":"&amp; ADDRESS(income_max_row,COLUMN())))</f>
        <v>0</v>
      </c>
      <c r="BX22" s="23">
        <f t="shared" ref="BX22:CI22" ca="1" si="49">SUM(INDIRECT(ADDRESS(income_min_row,COLUMN())&amp; ":"&amp; ADDRESS(income_max_row,COLUMN())))</f>
        <v>0</v>
      </c>
      <c r="BY22" s="23">
        <f t="shared" ca="1" si="49"/>
        <v>0</v>
      </c>
      <c r="BZ22" s="23">
        <f t="shared" ca="1" si="49"/>
        <v>0</v>
      </c>
      <c r="CA22" s="23">
        <f t="shared" ca="1" si="49"/>
        <v>0</v>
      </c>
      <c r="CB22" s="23">
        <f t="shared" ca="1" si="49"/>
        <v>0</v>
      </c>
      <c r="CC22" s="23">
        <f t="shared" ca="1" si="49"/>
        <v>0</v>
      </c>
      <c r="CD22" s="23">
        <f t="shared" ca="1" si="49"/>
        <v>0</v>
      </c>
      <c r="CE22" s="23">
        <f t="shared" ca="1" si="49"/>
        <v>0</v>
      </c>
      <c r="CF22" s="23">
        <f t="shared" ca="1" si="49"/>
        <v>0</v>
      </c>
      <c r="CG22" s="23">
        <f t="shared" ca="1" si="49"/>
        <v>0</v>
      </c>
      <c r="CH22" s="23">
        <f t="shared" ca="1" si="49"/>
        <v>0</v>
      </c>
      <c r="CI22" s="23">
        <f t="shared" ca="1" si="49"/>
        <v>0</v>
      </c>
      <c r="CK22" s="29">
        <f ca="1">SUM(INDIRECT(ADDRESS(income_min_row,COLUMN())&amp; ":"&amp; ADDRESS(income_max_row,COLUMN())))</f>
        <v>0</v>
      </c>
      <c r="CL22" s="23">
        <f t="shared" ref="CL22:CW22" ca="1" si="50">SUM(INDIRECT(ADDRESS(income_min_row,COLUMN())&amp; ":"&amp; ADDRESS(income_max_row,COLUMN())))</f>
        <v>0</v>
      </c>
      <c r="CM22" s="23">
        <f t="shared" ca="1" si="50"/>
        <v>0</v>
      </c>
      <c r="CN22" s="23">
        <f t="shared" ca="1" si="50"/>
        <v>0</v>
      </c>
      <c r="CO22" s="23">
        <f t="shared" ca="1" si="50"/>
        <v>0</v>
      </c>
      <c r="CP22" s="23">
        <f t="shared" ca="1" si="50"/>
        <v>0</v>
      </c>
      <c r="CQ22" s="23">
        <f t="shared" ca="1" si="50"/>
        <v>0</v>
      </c>
      <c r="CR22" s="23">
        <f t="shared" ca="1" si="50"/>
        <v>0</v>
      </c>
      <c r="CS22" s="23">
        <f t="shared" ca="1" si="50"/>
        <v>0</v>
      </c>
      <c r="CT22" s="23">
        <f t="shared" ca="1" si="50"/>
        <v>0</v>
      </c>
      <c r="CU22" s="23">
        <f t="shared" ca="1" si="50"/>
        <v>0</v>
      </c>
      <c r="CV22" s="23">
        <f t="shared" ca="1" si="50"/>
        <v>0</v>
      </c>
      <c r="CW22" s="23">
        <f t="shared" ca="1" si="50"/>
        <v>0</v>
      </c>
      <c r="CY22" s="29">
        <f ca="1">SUM(INDIRECT(ADDRESS(income_min_row,COLUMN())&amp; ":"&amp; ADDRESS(income_max_row,COLUMN())))</f>
        <v>0</v>
      </c>
      <c r="CZ22" s="23">
        <f t="shared" ref="CZ22:DK22" ca="1" si="51">SUM(INDIRECT(ADDRESS(income_min_row,COLUMN())&amp; ":"&amp; ADDRESS(income_max_row,COLUMN())))</f>
        <v>0</v>
      </c>
      <c r="DA22" s="23">
        <f t="shared" ca="1" si="51"/>
        <v>0</v>
      </c>
      <c r="DB22" s="23">
        <f t="shared" ca="1" si="51"/>
        <v>0</v>
      </c>
      <c r="DC22" s="23">
        <f t="shared" ca="1" si="51"/>
        <v>0</v>
      </c>
      <c r="DD22" s="23">
        <f t="shared" ca="1" si="51"/>
        <v>0</v>
      </c>
      <c r="DE22" s="23">
        <f t="shared" ca="1" si="51"/>
        <v>0</v>
      </c>
      <c r="DF22" s="23">
        <f t="shared" ca="1" si="51"/>
        <v>0</v>
      </c>
      <c r="DG22" s="23">
        <f t="shared" ca="1" si="51"/>
        <v>0</v>
      </c>
      <c r="DH22" s="23">
        <f t="shared" ca="1" si="51"/>
        <v>0</v>
      </c>
      <c r="DI22" s="23">
        <f t="shared" ca="1" si="51"/>
        <v>0</v>
      </c>
      <c r="DJ22" s="23">
        <f t="shared" ca="1" si="51"/>
        <v>0</v>
      </c>
      <c r="DK22" s="23">
        <f t="shared" ca="1" si="51"/>
        <v>0</v>
      </c>
      <c r="DM22" s="29">
        <f ca="1">SUM(INDIRECT(ADDRESS(income_min_row,COLUMN())&amp; ":"&amp; ADDRESS(income_max_row,COLUMN())))</f>
        <v>0</v>
      </c>
      <c r="DN22" s="23">
        <f t="shared" ref="DN22:DY22" ca="1" si="52">SUM(INDIRECT(ADDRESS(income_min_row,COLUMN())&amp; ":"&amp; ADDRESS(income_max_row,COLUMN())))</f>
        <v>0</v>
      </c>
      <c r="DO22" s="23">
        <f t="shared" ca="1" si="52"/>
        <v>0</v>
      </c>
      <c r="DP22" s="23">
        <f t="shared" ca="1" si="52"/>
        <v>0</v>
      </c>
      <c r="DQ22" s="23">
        <f t="shared" ca="1" si="52"/>
        <v>0</v>
      </c>
      <c r="DR22" s="23">
        <f t="shared" ca="1" si="52"/>
        <v>0</v>
      </c>
      <c r="DS22" s="23">
        <f t="shared" ca="1" si="52"/>
        <v>0</v>
      </c>
      <c r="DT22" s="23">
        <f t="shared" ca="1" si="52"/>
        <v>0</v>
      </c>
      <c r="DU22" s="23">
        <f t="shared" ca="1" si="52"/>
        <v>0</v>
      </c>
      <c r="DV22" s="23">
        <f t="shared" ca="1" si="52"/>
        <v>0</v>
      </c>
      <c r="DW22" s="23">
        <f t="shared" ca="1" si="52"/>
        <v>0</v>
      </c>
      <c r="DX22" s="23">
        <f t="shared" ca="1" si="52"/>
        <v>0</v>
      </c>
      <c r="DY22" s="23">
        <f t="shared" ca="1" si="52"/>
        <v>0</v>
      </c>
      <c r="EA22" s="29">
        <f ca="1">SUM(INDIRECT(ADDRESS(income_min_row,COLUMN())&amp; ":"&amp; ADDRESS(income_max_row,COLUMN())))</f>
        <v>0</v>
      </c>
      <c r="EB22" s="23">
        <f t="shared" ref="EB22:EM22" ca="1" si="53">SUM(INDIRECT(ADDRESS(income_min_row,COLUMN())&amp; ":"&amp; ADDRESS(income_max_row,COLUMN())))</f>
        <v>0</v>
      </c>
      <c r="EC22" s="23">
        <f t="shared" ca="1" si="53"/>
        <v>0</v>
      </c>
      <c r="ED22" s="23">
        <f t="shared" ca="1" si="53"/>
        <v>0</v>
      </c>
      <c r="EE22" s="23">
        <f t="shared" ca="1" si="53"/>
        <v>0</v>
      </c>
      <c r="EF22" s="23">
        <f t="shared" ca="1" si="53"/>
        <v>0</v>
      </c>
      <c r="EG22" s="23">
        <f t="shared" ca="1" si="53"/>
        <v>0</v>
      </c>
      <c r="EH22" s="23">
        <f t="shared" ca="1" si="53"/>
        <v>0</v>
      </c>
      <c r="EI22" s="23">
        <f t="shared" ca="1" si="53"/>
        <v>0</v>
      </c>
      <c r="EJ22" s="23">
        <f t="shared" ca="1" si="53"/>
        <v>0</v>
      </c>
      <c r="EK22" s="23">
        <f t="shared" ca="1" si="53"/>
        <v>0</v>
      </c>
      <c r="EL22" s="23">
        <f t="shared" ca="1" si="53"/>
        <v>0</v>
      </c>
      <c r="EM22" s="23">
        <f t="shared" ca="1" si="53"/>
        <v>0</v>
      </c>
      <c r="EO22" s="29">
        <f ca="1">SUM(INDIRECT(ADDRESS(income_min_row,COLUMN())&amp; ":"&amp; ADDRESS(income_max_row,COLUMN())))</f>
        <v>0</v>
      </c>
      <c r="EP22" s="23">
        <f t="shared" ref="EP22:FA22" ca="1" si="54">SUM(INDIRECT(ADDRESS(income_min_row,COLUMN())&amp; ":"&amp; ADDRESS(income_max_row,COLUMN())))</f>
        <v>0</v>
      </c>
      <c r="EQ22" s="23">
        <f t="shared" ca="1" si="54"/>
        <v>0</v>
      </c>
      <c r="ER22" s="23">
        <f t="shared" ca="1" si="54"/>
        <v>0</v>
      </c>
      <c r="ES22" s="23">
        <f t="shared" ca="1" si="54"/>
        <v>0</v>
      </c>
      <c r="ET22" s="23">
        <f t="shared" ca="1" si="54"/>
        <v>0</v>
      </c>
      <c r="EU22" s="23">
        <f t="shared" ca="1" si="54"/>
        <v>0</v>
      </c>
      <c r="EV22" s="23">
        <f t="shared" ca="1" si="54"/>
        <v>0</v>
      </c>
      <c r="EW22" s="23">
        <f t="shared" ca="1" si="54"/>
        <v>0</v>
      </c>
      <c r="EX22" s="23">
        <f t="shared" ca="1" si="54"/>
        <v>0</v>
      </c>
      <c r="EY22" s="23">
        <f t="shared" ca="1" si="54"/>
        <v>0</v>
      </c>
      <c r="EZ22" s="23">
        <f t="shared" ca="1" si="54"/>
        <v>0</v>
      </c>
      <c r="FA22" s="23">
        <f t="shared" ca="1" si="54"/>
        <v>0</v>
      </c>
    </row>
    <row r="23" spans="3:157" x14ac:dyDescent="0.25">
      <c r="C23" s="21"/>
    </row>
    <row r="25" spans="3:157" x14ac:dyDescent="0.25">
      <c r="C25" s="17" t="s">
        <v>17</v>
      </c>
      <c r="E25" s="24">
        <f>DATE(E$5,1,1)</f>
        <v>44562</v>
      </c>
      <c r="F25" s="24">
        <f>DATE(E$5,2,1)</f>
        <v>44593</v>
      </c>
      <c r="G25" s="24">
        <f>DATE(E$5,3,1)</f>
        <v>44621</v>
      </c>
      <c r="H25" s="24">
        <f>DATE(E$5,4,1)</f>
        <v>44652</v>
      </c>
      <c r="I25" s="24">
        <f>DATE(E$5,5,1)</f>
        <v>44682</v>
      </c>
      <c r="J25" s="24">
        <f>DATE(E$5,6,1)</f>
        <v>44713</v>
      </c>
      <c r="K25" s="24">
        <f>DATE(E$5,7,1)</f>
        <v>44743</v>
      </c>
      <c r="L25" s="24">
        <f>DATE(E$5,8,1)</f>
        <v>44774</v>
      </c>
      <c r="M25" s="24">
        <f>DATE(E$5,9,1)</f>
        <v>44805</v>
      </c>
      <c r="N25" s="24">
        <f>DATE(E$5,10,1)</f>
        <v>44835</v>
      </c>
      <c r="O25" s="24">
        <f>DATE(E$5,11,1)</f>
        <v>44866</v>
      </c>
      <c r="P25" s="24">
        <f>DATE(E$5,12,1)</f>
        <v>44896</v>
      </c>
      <c r="Q25" s="25">
        <f>E$5</f>
        <v>2022</v>
      </c>
      <c r="S25" s="24">
        <f>DATE(S$5,1,1)</f>
        <v>44927</v>
      </c>
      <c r="T25" s="24">
        <f>DATE(S$5,2,1)</f>
        <v>44958</v>
      </c>
      <c r="U25" s="24">
        <f>DATE(S$5,3,1)</f>
        <v>44986</v>
      </c>
      <c r="V25" s="24">
        <f>DATE(S$5,4,1)</f>
        <v>45017</v>
      </c>
      <c r="W25" s="24">
        <f>DATE(S$5,5,1)</f>
        <v>45047</v>
      </c>
      <c r="X25" s="24">
        <f>DATE(S$5,6,1)</f>
        <v>45078</v>
      </c>
      <c r="Y25" s="24">
        <f>DATE(S$5,7,1)</f>
        <v>45108</v>
      </c>
      <c r="Z25" s="24">
        <f>DATE(S$5,8,1)</f>
        <v>45139</v>
      </c>
      <c r="AA25" s="24">
        <f>DATE(S$5,9,1)</f>
        <v>45170</v>
      </c>
      <c r="AB25" s="24">
        <f>DATE(S$5,10,1)</f>
        <v>45200</v>
      </c>
      <c r="AC25" s="24">
        <f>DATE(S$5,11,1)</f>
        <v>45231</v>
      </c>
      <c r="AD25" s="24">
        <f>DATE(S$5,12,1)</f>
        <v>45261</v>
      </c>
      <c r="AE25" s="25">
        <f>S$5</f>
        <v>2023</v>
      </c>
      <c r="AG25" s="24">
        <f>DATE(AG$5,1,1)</f>
        <v>45292</v>
      </c>
      <c r="AH25" s="24">
        <f>DATE(AG$5,2,1)</f>
        <v>45323</v>
      </c>
      <c r="AI25" s="24">
        <f>DATE(AG$5,3,1)</f>
        <v>45352</v>
      </c>
      <c r="AJ25" s="24">
        <f>DATE(AG$5,4,1)</f>
        <v>45383</v>
      </c>
      <c r="AK25" s="24">
        <f>DATE(AG$5,5,1)</f>
        <v>45413</v>
      </c>
      <c r="AL25" s="24">
        <f>DATE(AG$5,6,1)</f>
        <v>45444</v>
      </c>
      <c r="AM25" s="24">
        <f>DATE(AG$5,7,1)</f>
        <v>45474</v>
      </c>
      <c r="AN25" s="24">
        <f>DATE(AG$5,8,1)</f>
        <v>45505</v>
      </c>
      <c r="AO25" s="24">
        <f>DATE(AG$5,9,1)</f>
        <v>45536</v>
      </c>
      <c r="AP25" s="24">
        <f>DATE(AG$5,10,1)</f>
        <v>45566</v>
      </c>
      <c r="AQ25" s="24">
        <f>DATE(AG$5,11,1)</f>
        <v>45597</v>
      </c>
      <c r="AR25" s="24">
        <f>DATE(AG$5,12,1)</f>
        <v>45627</v>
      </c>
      <c r="AS25" s="25">
        <f>AG$5</f>
        <v>2024</v>
      </c>
      <c r="AU25" s="24">
        <f>DATE(AU$5,1,1)</f>
        <v>45658</v>
      </c>
      <c r="AV25" s="24">
        <f>DATE(AU$5,2,1)</f>
        <v>45689</v>
      </c>
      <c r="AW25" s="24">
        <f>DATE(AU$5,3,1)</f>
        <v>45717</v>
      </c>
      <c r="AX25" s="24">
        <f>DATE(AU$5,4,1)</f>
        <v>45748</v>
      </c>
      <c r="AY25" s="24">
        <f>DATE(AU$5,5,1)</f>
        <v>45778</v>
      </c>
      <c r="AZ25" s="24">
        <f>DATE(AU$5,6,1)</f>
        <v>45809</v>
      </c>
      <c r="BA25" s="24">
        <f>DATE(AU$5,7,1)</f>
        <v>45839</v>
      </c>
      <c r="BB25" s="24">
        <f>DATE(AU$5,8,1)</f>
        <v>45870</v>
      </c>
      <c r="BC25" s="24">
        <f>DATE(AU$5,9,1)</f>
        <v>45901</v>
      </c>
      <c r="BD25" s="24">
        <f>DATE(AU$5,10,1)</f>
        <v>45931</v>
      </c>
      <c r="BE25" s="24">
        <f>DATE(AU$5,11,1)</f>
        <v>45962</v>
      </c>
      <c r="BF25" s="24">
        <f>DATE(AU$5,12,1)</f>
        <v>45992</v>
      </c>
      <c r="BG25" s="25">
        <f>AU$5</f>
        <v>2025</v>
      </c>
      <c r="BI25" s="24">
        <f>DATE(BI$5,1,1)</f>
        <v>46023</v>
      </c>
      <c r="BJ25" s="24">
        <f>DATE(BI$5,2,1)</f>
        <v>46054</v>
      </c>
      <c r="BK25" s="24">
        <f>DATE(BI$5,3,1)</f>
        <v>46082</v>
      </c>
      <c r="BL25" s="24">
        <f>DATE(BI$5,4,1)</f>
        <v>46113</v>
      </c>
      <c r="BM25" s="24">
        <f>DATE(BI$5,5,1)</f>
        <v>46143</v>
      </c>
      <c r="BN25" s="24">
        <f>DATE(BI$5,6,1)</f>
        <v>46174</v>
      </c>
      <c r="BO25" s="24">
        <f>DATE(BI$5,7,1)</f>
        <v>46204</v>
      </c>
      <c r="BP25" s="24">
        <f>DATE(BI$5,8,1)</f>
        <v>46235</v>
      </c>
      <c r="BQ25" s="24">
        <f>DATE(BI$5,9,1)</f>
        <v>46266</v>
      </c>
      <c r="BR25" s="24">
        <f>DATE(BI$5,10,1)</f>
        <v>46296</v>
      </c>
      <c r="BS25" s="24">
        <f>DATE(BI$5,11,1)</f>
        <v>46327</v>
      </c>
      <c r="BT25" s="24">
        <f>DATE(BI$5,12,1)</f>
        <v>46357</v>
      </c>
      <c r="BU25" s="25">
        <f>BI$5</f>
        <v>2026</v>
      </c>
      <c r="BW25" s="24">
        <f>DATE(BW$5,1,1)</f>
        <v>46388</v>
      </c>
      <c r="BX25" s="24">
        <f>DATE(BW$5,2,1)</f>
        <v>46419</v>
      </c>
      <c r="BY25" s="24">
        <f>DATE(BW$5,3,1)</f>
        <v>46447</v>
      </c>
      <c r="BZ25" s="24">
        <f>DATE(BW$5,4,1)</f>
        <v>46478</v>
      </c>
      <c r="CA25" s="24">
        <f>DATE(BW$5,5,1)</f>
        <v>46508</v>
      </c>
      <c r="CB25" s="24">
        <f>DATE(BW$5,6,1)</f>
        <v>46539</v>
      </c>
      <c r="CC25" s="24">
        <f>DATE(BW$5,7,1)</f>
        <v>46569</v>
      </c>
      <c r="CD25" s="24">
        <f>DATE(BW$5,8,1)</f>
        <v>46600</v>
      </c>
      <c r="CE25" s="24">
        <f>DATE(BW$5,9,1)</f>
        <v>46631</v>
      </c>
      <c r="CF25" s="24">
        <f>DATE(BW$5,10,1)</f>
        <v>46661</v>
      </c>
      <c r="CG25" s="24">
        <f>DATE(BW$5,11,1)</f>
        <v>46692</v>
      </c>
      <c r="CH25" s="24">
        <f>DATE(BW$5,12,1)</f>
        <v>46722</v>
      </c>
      <c r="CI25" s="25">
        <f>BW$5</f>
        <v>2027</v>
      </c>
      <c r="CK25" s="24">
        <f>DATE(CK$5,1,1)</f>
        <v>46753</v>
      </c>
      <c r="CL25" s="24">
        <f>DATE(CK$5,2,1)</f>
        <v>46784</v>
      </c>
      <c r="CM25" s="24">
        <f>DATE(CK$5,3,1)</f>
        <v>46813</v>
      </c>
      <c r="CN25" s="24">
        <f>DATE(CK$5,4,1)</f>
        <v>46844</v>
      </c>
      <c r="CO25" s="24">
        <f>DATE(CK$5,5,1)</f>
        <v>46874</v>
      </c>
      <c r="CP25" s="24">
        <f>DATE(CK$5,6,1)</f>
        <v>46905</v>
      </c>
      <c r="CQ25" s="24">
        <f>DATE(CK$5,7,1)</f>
        <v>46935</v>
      </c>
      <c r="CR25" s="24">
        <f>DATE(CK$5,8,1)</f>
        <v>46966</v>
      </c>
      <c r="CS25" s="24">
        <f>DATE(CK$5,9,1)</f>
        <v>46997</v>
      </c>
      <c r="CT25" s="24">
        <f>DATE(CK$5,10,1)</f>
        <v>47027</v>
      </c>
      <c r="CU25" s="24">
        <f>DATE(CK$5,11,1)</f>
        <v>47058</v>
      </c>
      <c r="CV25" s="24">
        <f>DATE(CK$5,12,1)</f>
        <v>47088</v>
      </c>
      <c r="CW25" s="25">
        <f>CK$5</f>
        <v>2028</v>
      </c>
      <c r="CY25" s="24">
        <f>DATE(CY$5,1,1)</f>
        <v>47119</v>
      </c>
      <c r="CZ25" s="24">
        <f>DATE(CY$5,2,1)</f>
        <v>47150</v>
      </c>
      <c r="DA25" s="24">
        <f>DATE(CY$5,3,1)</f>
        <v>47178</v>
      </c>
      <c r="DB25" s="24">
        <f>DATE(CY$5,4,1)</f>
        <v>47209</v>
      </c>
      <c r="DC25" s="24">
        <f>DATE(CY$5,5,1)</f>
        <v>47239</v>
      </c>
      <c r="DD25" s="24">
        <f>DATE(CY$5,6,1)</f>
        <v>47270</v>
      </c>
      <c r="DE25" s="24">
        <f>DATE(CY$5,7,1)</f>
        <v>47300</v>
      </c>
      <c r="DF25" s="24">
        <f>DATE(CY$5,8,1)</f>
        <v>47331</v>
      </c>
      <c r="DG25" s="24">
        <f>DATE(CY$5,9,1)</f>
        <v>47362</v>
      </c>
      <c r="DH25" s="24">
        <f>DATE(CY$5,10,1)</f>
        <v>47392</v>
      </c>
      <c r="DI25" s="24">
        <f>DATE(CY$5,11,1)</f>
        <v>47423</v>
      </c>
      <c r="DJ25" s="24">
        <f>DATE(CY$5,12,1)</f>
        <v>47453</v>
      </c>
      <c r="DK25" s="25">
        <f>CY$5</f>
        <v>2029</v>
      </c>
      <c r="DM25" s="24">
        <f>DATE(DM$5,1,1)</f>
        <v>47484</v>
      </c>
      <c r="DN25" s="24">
        <f>DATE(DM$5,2,1)</f>
        <v>47515</v>
      </c>
      <c r="DO25" s="24">
        <f>DATE(DM$5,3,1)</f>
        <v>47543</v>
      </c>
      <c r="DP25" s="24">
        <f>DATE(DM$5,4,1)</f>
        <v>47574</v>
      </c>
      <c r="DQ25" s="24">
        <f>DATE(DM$5,5,1)</f>
        <v>47604</v>
      </c>
      <c r="DR25" s="24">
        <f>DATE(DM$5,6,1)</f>
        <v>47635</v>
      </c>
      <c r="DS25" s="24">
        <f>DATE(DM$5,7,1)</f>
        <v>47665</v>
      </c>
      <c r="DT25" s="24">
        <f>DATE(DM$5,8,1)</f>
        <v>47696</v>
      </c>
      <c r="DU25" s="24">
        <f>DATE(DM$5,9,1)</f>
        <v>47727</v>
      </c>
      <c r="DV25" s="24">
        <f>DATE(DM$5,10,1)</f>
        <v>47757</v>
      </c>
      <c r="DW25" s="24">
        <f>DATE(DM$5,11,1)</f>
        <v>47788</v>
      </c>
      <c r="DX25" s="24">
        <f>DATE(DM$5,12,1)</f>
        <v>47818</v>
      </c>
      <c r="DY25" s="25">
        <f>DM$5</f>
        <v>2030</v>
      </c>
      <c r="EA25" s="24">
        <f>DATE(EA$5,1,1)</f>
        <v>47849</v>
      </c>
      <c r="EB25" s="24">
        <f>DATE(EA$5,2,1)</f>
        <v>47880</v>
      </c>
      <c r="EC25" s="24">
        <f>DATE(EA$5,3,1)</f>
        <v>47908</v>
      </c>
      <c r="ED25" s="24">
        <f>DATE(EA$5,4,1)</f>
        <v>47939</v>
      </c>
      <c r="EE25" s="24">
        <f>DATE(EA$5,5,1)</f>
        <v>47969</v>
      </c>
      <c r="EF25" s="24">
        <f>DATE(EA$5,6,1)</f>
        <v>48000</v>
      </c>
      <c r="EG25" s="24">
        <f>DATE(EA$5,7,1)</f>
        <v>48030</v>
      </c>
      <c r="EH25" s="24">
        <f>DATE(EA$5,8,1)</f>
        <v>48061</v>
      </c>
      <c r="EI25" s="24">
        <f>DATE(EA$5,9,1)</f>
        <v>48092</v>
      </c>
      <c r="EJ25" s="24">
        <f>DATE(EA$5,10,1)</f>
        <v>48122</v>
      </c>
      <c r="EK25" s="24">
        <f>DATE(EA$5,11,1)</f>
        <v>48153</v>
      </c>
      <c r="EL25" s="24">
        <f>DATE(EA$5,12,1)</f>
        <v>48183</v>
      </c>
      <c r="EM25" s="25">
        <f>EA$5</f>
        <v>2031</v>
      </c>
      <c r="EO25" s="24">
        <f>DATE(EO$5,1,1)</f>
        <v>48214</v>
      </c>
      <c r="EP25" s="24">
        <f>DATE(EO$5,2,1)</f>
        <v>48245</v>
      </c>
      <c r="EQ25" s="24">
        <f>DATE(EO$5,3,1)</f>
        <v>48274</v>
      </c>
      <c r="ER25" s="24">
        <f>DATE(EO$5,4,1)</f>
        <v>48305</v>
      </c>
      <c r="ES25" s="24">
        <f>DATE(EO$5,5,1)</f>
        <v>48335</v>
      </c>
      <c r="ET25" s="24">
        <f>DATE(EO$5,6,1)</f>
        <v>48366</v>
      </c>
      <c r="EU25" s="24">
        <f>DATE(EO$5,7,1)</f>
        <v>48396</v>
      </c>
      <c r="EV25" s="24">
        <f>DATE(EO$5,8,1)</f>
        <v>48427</v>
      </c>
      <c r="EW25" s="24">
        <f>DATE(EO$5,9,1)</f>
        <v>48458</v>
      </c>
      <c r="EX25" s="24">
        <f>DATE(EO$5,10,1)</f>
        <v>48488</v>
      </c>
      <c r="EY25" s="24">
        <f>DATE(EO$5,11,1)</f>
        <v>48519</v>
      </c>
      <c r="EZ25" s="24">
        <f>DATE(EO$5,12,1)</f>
        <v>48549</v>
      </c>
      <c r="FA25" s="25">
        <f>EO$5</f>
        <v>2032</v>
      </c>
    </row>
    <row r="26" spans="3:157" x14ac:dyDescent="0.25">
      <c r="C26" s="22" t="s">
        <v>18</v>
      </c>
      <c r="E26" s="23">
        <v>1200</v>
      </c>
      <c r="F26" s="23">
        <v>1200</v>
      </c>
      <c r="G26" s="23">
        <v>1200</v>
      </c>
      <c r="H26" s="23">
        <v>1200</v>
      </c>
      <c r="I26" s="23">
        <v>1200</v>
      </c>
      <c r="J26" s="23">
        <v>1200</v>
      </c>
      <c r="K26" s="23">
        <v>1200</v>
      </c>
      <c r="L26" s="23">
        <v>1200</v>
      </c>
      <c r="M26" s="23">
        <v>1200</v>
      </c>
      <c r="N26" s="23">
        <v>1200</v>
      </c>
      <c r="O26" s="23">
        <v>1200</v>
      </c>
      <c r="P26" s="23">
        <v>1200</v>
      </c>
      <c r="Q26" s="34">
        <f>SUM(E26:P26)</f>
        <v>14400</v>
      </c>
      <c r="S26" s="23"/>
      <c r="T26" s="23"/>
      <c r="U26" s="23"/>
      <c r="V26" s="23"/>
      <c r="W26" s="23"/>
      <c r="X26" s="23"/>
      <c r="Y26" s="23"/>
      <c r="Z26" s="23"/>
      <c r="AA26" s="23"/>
      <c r="AB26" s="23"/>
      <c r="AC26" s="23"/>
      <c r="AD26" s="23"/>
      <c r="AE26" s="34">
        <f>SUM(S26:AD26)</f>
        <v>0</v>
      </c>
      <c r="AG26" s="23"/>
      <c r="AH26" s="23"/>
      <c r="AI26" s="23"/>
      <c r="AJ26" s="23"/>
      <c r="AK26" s="23"/>
      <c r="AL26" s="23"/>
      <c r="AM26" s="23"/>
      <c r="AN26" s="23"/>
      <c r="AO26" s="23"/>
      <c r="AP26" s="23"/>
      <c r="AQ26" s="23"/>
      <c r="AR26" s="23"/>
      <c r="AS26" s="34">
        <f>SUM(AG26:AR26)</f>
        <v>0</v>
      </c>
      <c r="AU26" s="23"/>
      <c r="AV26" s="23"/>
      <c r="AW26" s="23"/>
      <c r="AX26" s="23"/>
      <c r="AY26" s="23"/>
      <c r="AZ26" s="23"/>
      <c r="BA26" s="23"/>
      <c r="BB26" s="23"/>
      <c r="BC26" s="23"/>
      <c r="BD26" s="23"/>
      <c r="BE26" s="23"/>
      <c r="BF26" s="23"/>
      <c r="BG26" s="34">
        <f>SUM(AU26:BF26)</f>
        <v>0</v>
      </c>
      <c r="BI26" s="23"/>
      <c r="BJ26" s="23"/>
      <c r="BK26" s="23"/>
      <c r="BL26" s="23"/>
      <c r="BM26" s="23"/>
      <c r="BN26" s="23"/>
      <c r="BO26" s="23"/>
      <c r="BP26" s="23"/>
      <c r="BQ26" s="23"/>
      <c r="BR26" s="23"/>
      <c r="BS26" s="23"/>
      <c r="BT26" s="23"/>
      <c r="BU26" s="34">
        <f>SUM(BI26:BT26)</f>
        <v>0</v>
      </c>
      <c r="BW26" s="23"/>
      <c r="BX26" s="23"/>
      <c r="BY26" s="23"/>
      <c r="BZ26" s="23"/>
      <c r="CA26" s="23"/>
      <c r="CB26" s="23"/>
      <c r="CC26" s="23"/>
      <c r="CD26" s="23"/>
      <c r="CE26" s="23"/>
      <c r="CF26" s="23"/>
      <c r="CG26" s="23"/>
      <c r="CH26" s="23"/>
      <c r="CI26" s="34">
        <f>SUM(BW26:CH26)</f>
        <v>0</v>
      </c>
      <c r="CK26" s="23"/>
      <c r="CL26" s="23"/>
      <c r="CM26" s="23"/>
      <c r="CN26" s="23"/>
      <c r="CO26" s="23"/>
      <c r="CP26" s="23"/>
      <c r="CQ26" s="23"/>
      <c r="CR26" s="23"/>
      <c r="CS26" s="23"/>
      <c r="CT26" s="23"/>
      <c r="CU26" s="23"/>
      <c r="CV26" s="23"/>
      <c r="CW26" s="34">
        <f>SUM(CK26:CV26)</f>
        <v>0</v>
      </c>
      <c r="CY26" s="23"/>
      <c r="CZ26" s="23"/>
      <c r="DA26" s="23"/>
      <c r="DB26" s="23"/>
      <c r="DC26" s="23"/>
      <c r="DD26" s="23"/>
      <c r="DE26" s="23"/>
      <c r="DF26" s="23"/>
      <c r="DG26" s="23"/>
      <c r="DH26" s="23"/>
      <c r="DI26" s="23"/>
      <c r="DJ26" s="23"/>
      <c r="DK26" s="34">
        <f>SUM(CY26:DJ26)</f>
        <v>0</v>
      </c>
      <c r="DM26" s="23"/>
      <c r="DN26" s="23"/>
      <c r="DO26" s="23"/>
      <c r="DP26" s="23"/>
      <c r="DQ26" s="23"/>
      <c r="DR26" s="23"/>
      <c r="DS26" s="23"/>
      <c r="DT26" s="23"/>
      <c r="DU26" s="23"/>
      <c r="DV26" s="23"/>
      <c r="DW26" s="23"/>
      <c r="DX26" s="23"/>
      <c r="DY26" s="34">
        <f>SUM(DM26:DX26)</f>
        <v>0</v>
      </c>
      <c r="EA26" s="23"/>
      <c r="EB26" s="23"/>
      <c r="EC26" s="23"/>
      <c r="ED26" s="23"/>
      <c r="EE26" s="23"/>
      <c r="EF26" s="23"/>
      <c r="EG26" s="23"/>
      <c r="EH26" s="23"/>
      <c r="EI26" s="23"/>
      <c r="EJ26" s="23"/>
      <c r="EK26" s="23"/>
      <c r="EL26" s="23"/>
      <c r="EM26" s="34">
        <f>SUM(EA26:EL26)</f>
        <v>0</v>
      </c>
      <c r="EO26" s="23"/>
      <c r="EP26" s="23"/>
      <c r="EQ26" s="23"/>
      <c r="ER26" s="23"/>
      <c r="ES26" s="23"/>
      <c r="ET26" s="23"/>
      <c r="EU26" s="23"/>
      <c r="EV26" s="23"/>
      <c r="EW26" s="23"/>
      <c r="EX26" s="23"/>
      <c r="EY26" s="23"/>
      <c r="EZ26" s="23"/>
      <c r="FA26" s="34">
        <f>SUM(EO26:EZ26)</f>
        <v>0</v>
      </c>
    </row>
    <row r="27" spans="3:157" x14ac:dyDescent="0.25">
      <c r="C27" s="22" t="s">
        <v>19</v>
      </c>
      <c r="E27" s="23">
        <v>300</v>
      </c>
      <c r="F27" s="23">
        <v>300</v>
      </c>
      <c r="G27" s="23">
        <v>300</v>
      </c>
      <c r="H27" s="23">
        <v>300</v>
      </c>
      <c r="I27" s="23">
        <v>300</v>
      </c>
      <c r="J27" s="23">
        <v>300</v>
      </c>
      <c r="K27" s="23">
        <v>300</v>
      </c>
      <c r="L27" s="23">
        <v>300</v>
      </c>
      <c r="M27" s="23">
        <v>300</v>
      </c>
      <c r="N27" s="23">
        <v>300</v>
      </c>
      <c r="O27" s="23">
        <v>300</v>
      </c>
      <c r="P27" s="23">
        <v>300</v>
      </c>
      <c r="Q27" s="34">
        <f t="shared" ref="Q27:Q37" si="55">SUM(E27:P27)</f>
        <v>3600</v>
      </c>
      <c r="S27" s="23"/>
      <c r="T27" s="23"/>
      <c r="U27" s="23"/>
      <c r="V27" s="23"/>
      <c r="W27" s="23"/>
      <c r="X27" s="23"/>
      <c r="Y27" s="23"/>
      <c r="Z27" s="23"/>
      <c r="AA27" s="23"/>
      <c r="AB27" s="23"/>
      <c r="AC27" s="23"/>
      <c r="AD27" s="23"/>
      <c r="AE27" s="23">
        <f t="shared" ref="AE27" si="56">SUM(S27:AD27)</f>
        <v>0</v>
      </c>
      <c r="AG27" s="23"/>
      <c r="AH27" s="23"/>
      <c r="AI27" s="23"/>
      <c r="AJ27" s="23"/>
      <c r="AK27" s="23"/>
      <c r="AL27" s="23"/>
      <c r="AM27" s="23"/>
      <c r="AN27" s="23"/>
      <c r="AO27" s="23"/>
      <c r="AP27" s="23"/>
      <c r="AQ27" s="23"/>
      <c r="AR27" s="23"/>
      <c r="AS27" s="23">
        <f t="shared" ref="AS27" si="57">SUM(AG27:AR27)</f>
        <v>0</v>
      </c>
      <c r="AU27" s="23"/>
      <c r="AV27" s="23"/>
      <c r="AW27" s="23"/>
      <c r="AX27" s="23"/>
      <c r="AY27" s="23"/>
      <c r="AZ27" s="23"/>
      <c r="BA27" s="23"/>
      <c r="BB27" s="23"/>
      <c r="BC27" s="23"/>
      <c r="BD27" s="23"/>
      <c r="BE27" s="23"/>
      <c r="BF27" s="23"/>
      <c r="BG27" s="23">
        <f t="shared" ref="BG27" si="58">SUM(AU27:BF27)</f>
        <v>0</v>
      </c>
      <c r="BI27" s="23"/>
      <c r="BJ27" s="23"/>
      <c r="BK27" s="23"/>
      <c r="BL27" s="23"/>
      <c r="BM27" s="23"/>
      <c r="BN27" s="23"/>
      <c r="BO27" s="23"/>
      <c r="BP27" s="23"/>
      <c r="BQ27" s="23"/>
      <c r="BR27" s="23"/>
      <c r="BS27" s="23"/>
      <c r="BT27" s="23"/>
      <c r="BU27" s="23">
        <f t="shared" ref="BU27" si="59">SUM(BI27:BT27)</f>
        <v>0</v>
      </c>
      <c r="BW27" s="23"/>
      <c r="BX27" s="23"/>
      <c r="BY27" s="23"/>
      <c r="BZ27" s="23"/>
      <c r="CA27" s="23"/>
      <c r="CB27" s="23"/>
      <c r="CC27" s="23"/>
      <c r="CD27" s="23"/>
      <c r="CE27" s="23"/>
      <c r="CF27" s="23"/>
      <c r="CG27" s="23"/>
      <c r="CH27" s="23"/>
      <c r="CI27" s="23">
        <f t="shared" ref="CI27" si="60">SUM(BW27:CH27)</f>
        <v>0</v>
      </c>
      <c r="CK27" s="23"/>
      <c r="CL27" s="23"/>
      <c r="CM27" s="23"/>
      <c r="CN27" s="23"/>
      <c r="CO27" s="23"/>
      <c r="CP27" s="23"/>
      <c r="CQ27" s="23"/>
      <c r="CR27" s="23"/>
      <c r="CS27" s="23"/>
      <c r="CT27" s="23"/>
      <c r="CU27" s="23"/>
      <c r="CV27" s="23"/>
      <c r="CW27" s="23">
        <f t="shared" ref="CW27" si="61">SUM(CK27:CV27)</f>
        <v>0</v>
      </c>
      <c r="CY27" s="23"/>
      <c r="CZ27" s="23"/>
      <c r="DA27" s="23"/>
      <c r="DB27" s="23"/>
      <c r="DC27" s="23"/>
      <c r="DD27" s="23"/>
      <c r="DE27" s="23"/>
      <c r="DF27" s="23"/>
      <c r="DG27" s="23"/>
      <c r="DH27" s="23"/>
      <c r="DI27" s="23"/>
      <c r="DJ27" s="23"/>
      <c r="DK27" s="23">
        <f t="shared" ref="DK27" si="62">SUM(CY27:DJ27)</f>
        <v>0</v>
      </c>
      <c r="DM27" s="23"/>
      <c r="DN27" s="23"/>
      <c r="DO27" s="23"/>
      <c r="DP27" s="23"/>
      <c r="DQ27" s="23"/>
      <c r="DR27" s="23"/>
      <c r="DS27" s="23"/>
      <c r="DT27" s="23"/>
      <c r="DU27" s="23"/>
      <c r="DV27" s="23"/>
      <c r="DW27" s="23"/>
      <c r="DX27" s="23"/>
      <c r="DY27" s="23">
        <f t="shared" ref="DY27" si="63">SUM(DM27:DX27)</f>
        <v>0</v>
      </c>
      <c r="EA27" s="23"/>
      <c r="EB27" s="23"/>
      <c r="EC27" s="23"/>
      <c r="ED27" s="23"/>
      <c r="EE27" s="23"/>
      <c r="EF27" s="23"/>
      <c r="EG27" s="23"/>
      <c r="EH27" s="23"/>
      <c r="EI27" s="23"/>
      <c r="EJ27" s="23"/>
      <c r="EK27" s="23"/>
      <c r="EL27" s="23"/>
      <c r="EM27" s="23">
        <f t="shared" ref="EM27" si="64">SUM(EA27:EL27)</f>
        <v>0</v>
      </c>
      <c r="EO27" s="23"/>
      <c r="EP27" s="23"/>
      <c r="EQ27" s="23"/>
      <c r="ER27" s="23"/>
      <c r="ES27" s="23"/>
      <c r="ET27" s="23"/>
      <c r="EU27" s="23"/>
      <c r="EV27" s="23"/>
      <c r="EW27" s="23"/>
      <c r="EX27" s="23"/>
      <c r="EY27" s="23"/>
      <c r="EZ27" s="23"/>
      <c r="FA27" s="23">
        <f t="shared" ref="FA27" si="65">SUM(EO27:EZ27)</f>
        <v>0</v>
      </c>
    </row>
    <row r="28" spans="3:157" x14ac:dyDescent="0.25">
      <c r="C28" s="22" t="s">
        <v>20</v>
      </c>
      <c r="E28" s="23">
        <v>350</v>
      </c>
      <c r="F28" s="23">
        <v>350</v>
      </c>
      <c r="G28" s="23">
        <v>350</v>
      </c>
      <c r="H28" s="23">
        <v>350</v>
      </c>
      <c r="I28" s="23">
        <v>350</v>
      </c>
      <c r="J28" s="23">
        <v>350</v>
      </c>
      <c r="K28" s="23">
        <v>350</v>
      </c>
      <c r="L28" s="23">
        <v>350</v>
      </c>
      <c r="M28" s="23">
        <v>350</v>
      </c>
      <c r="N28" s="23">
        <v>350</v>
      </c>
      <c r="O28" s="23">
        <v>350</v>
      </c>
      <c r="P28" s="23">
        <v>350</v>
      </c>
      <c r="Q28" s="34">
        <f t="shared" si="55"/>
        <v>4200</v>
      </c>
      <c r="S28" s="23"/>
      <c r="T28" s="23"/>
      <c r="U28" s="23"/>
      <c r="V28" s="23"/>
      <c r="W28" s="23"/>
      <c r="X28" s="23"/>
      <c r="Y28" s="23"/>
      <c r="Z28" s="23"/>
      <c r="AA28" s="23"/>
      <c r="AB28" s="23"/>
      <c r="AC28" s="23"/>
      <c r="AD28" s="23"/>
      <c r="AE28" s="23">
        <f>SUM(S28:AD28)</f>
        <v>0</v>
      </c>
      <c r="AG28" s="23"/>
      <c r="AH28" s="23"/>
      <c r="AI28" s="23"/>
      <c r="AJ28" s="23"/>
      <c r="AK28" s="23"/>
      <c r="AL28" s="23"/>
      <c r="AM28" s="23"/>
      <c r="AN28" s="23"/>
      <c r="AO28" s="23"/>
      <c r="AP28" s="23"/>
      <c r="AQ28" s="23"/>
      <c r="AR28" s="23"/>
      <c r="AS28" s="23">
        <f>SUM(AG28:AR28)</f>
        <v>0</v>
      </c>
      <c r="AU28" s="23"/>
      <c r="AV28" s="23"/>
      <c r="AW28" s="23"/>
      <c r="AX28" s="23"/>
      <c r="AY28" s="23"/>
      <c r="AZ28" s="23"/>
      <c r="BA28" s="23"/>
      <c r="BB28" s="23"/>
      <c r="BC28" s="23"/>
      <c r="BD28" s="23"/>
      <c r="BE28" s="23"/>
      <c r="BF28" s="23"/>
      <c r="BG28" s="23">
        <f>SUM(AU28:BF28)</f>
        <v>0</v>
      </c>
      <c r="BI28" s="23"/>
      <c r="BJ28" s="23"/>
      <c r="BK28" s="23"/>
      <c r="BL28" s="23"/>
      <c r="BM28" s="23"/>
      <c r="BN28" s="23"/>
      <c r="BO28" s="23"/>
      <c r="BP28" s="23"/>
      <c r="BQ28" s="23"/>
      <c r="BR28" s="23"/>
      <c r="BS28" s="23"/>
      <c r="BT28" s="23"/>
      <c r="BU28" s="23">
        <f>SUM(BI28:BT28)</f>
        <v>0</v>
      </c>
      <c r="BW28" s="23"/>
      <c r="BX28" s="23"/>
      <c r="BY28" s="23"/>
      <c r="BZ28" s="23"/>
      <c r="CA28" s="23"/>
      <c r="CB28" s="23"/>
      <c r="CC28" s="23"/>
      <c r="CD28" s="23"/>
      <c r="CE28" s="23"/>
      <c r="CF28" s="23"/>
      <c r="CG28" s="23"/>
      <c r="CH28" s="23"/>
      <c r="CI28" s="23">
        <f>SUM(BW28:CH28)</f>
        <v>0</v>
      </c>
      <c r="CK28" s="23"/>
      <c r="CL28" s="23"/>
      <c r="CM28" s="23"/>
      <c r="CN28" s="23"/>
      <c r="CO28" s="23"/>
      <c r="CP28" s="23"/>
      <c r="CQ28" s="23"/>
      <c r="CR28" s="23"/>
      <c r="CS28" s="23"/>
      <c r="CT28" s="23"/>
      <c r="CU28" s="23"/>
      <c r="CV28" s="23"/>
      <c r="CW28" s="23">
        <f>SUM(CK28:CV28)</f>
        <v>0</v>
      </c>
      <c r="CY28" s="23"/>
      <c r="CZ28" s="23"/>
      <c r="DA28" s="23"/>
      <c r="DB28" s="23"/>
      <c r="DC28" s="23"/>
      <c r="DD28" s="23"/>
      <c r="DE28" s="23"/>
      <c r="DF28" s="23"/>
      <c r="DG28" s="23"/>
      <c r="DH28" s="23"/>
      <c r="DI28" s="23"/>
      <c r="DJ28" s="23"/>
      <c r="DK28" s="23">
        <f>SUM(CY28:DJ28)</f>
        <v>0</v>
      </c>
      <c r="DM28" s="23"/>
      <c r="DN28" s="23"/>
      <c r="DO28" s="23"/>
      <c r="DP28" s="23"/>
      <c r="DQ28" s="23"/>
      <c r="DR28" s="23"/>
      <c r="DS28" s="23"/>
      <c r="DT28" s="23"/>
      <c r="DU28" s="23"/>
      <c r="DV28" s="23"/>
      <c r="DW28" s="23"/>
      <c r="DX28" s="23"/>
      <c r="DY28" s="23">
        <f>SUM(DM28:DX28)</f>
        <v>0</v>
      </c>
      <c r="EA28" s="23"/>
      <c r="EB28" s="23"/>
      <c r="EC28" s="23"/>
      <c r="ED28" s="23"/>
      <c r="EE28" s="23"/>
      <c r="EF28" s="23"/>
      <c r="EG28" s="23"/>
      <c r="EH28" s="23"/>
      <c r="EI28" s="23"/>
      <c r="EJ28" s="23"/>
      <c r="EK28" s="23"/>
      <c r="EL28" s="23"/>
      <c r="EM28" s="23">
        <f>SUM(EA28:EL28)</f>
        <v>0</v>
      </c>
      <c r="EO28" s="23"/>
      <c r="EP28" s="23"/>
      <c r="EQ28" s="23"/>
      <c r="ER28" s="23"/>
      <c r="ES28" s="23"/>
      <c r="ET28" s="23"/>
      <c r="EU28" s="23"/>
      <c r="EV28" s="23"/>
      <c r="EW28" s="23"/>
      <c r="EX28" s="23"/>
      <c r="EY28" s="23"/>
      <c r="EZ28" s="23"/>
      <c r="FA28" s="23">
        <f>SUM(EO28:EZ28)</f>
        <v>0</v>
      </c>
    </row>
    <row r="29" spans="3:157" x14ac:dyDescent="0.25">
      <c r="C29" s="22" t="s">
        <v>28</v>
      </c>
      <c r="E29" s="23">
        <v>300</v>
      </c>
      <c r="F29" s="23">
        <v>300</v>
      </c>
      <c r="G29" s="23">
        <v>300</v>
      </c>
      <c r="H29" s="23">
        <v>300</v>
      </c>
      <c r="I29" s="23">
        <v>300</v>
      </c>
      <c r="J29" s="23">
        <v>300</v>
      </c>
      <c r="K29" s="23">
        <v>300</v>
      </c>
      <c r="L29" s="23">
        <v>300</v>
      </c>
      <c r="M29" s="23">
        <v>300</v>
      </c>
      <c r="N29" s="23">
        <v>300</v>
      </c>
      <c r="O29" s="23">
        <v>300</v>
      </c>
      <c r="P29" s="23">
        <v>300</v>
      </c>
      <c r="Q29" s="34">
        <f t="shared" si="55"/>
        <v>3600</v>
      </c>
      <c r="S29" s="23"/>
      <c r="T29" s="23"/>
      <c r="U29" s="23"/>
      <c r="V29" s="23"/>
      <c r="W29" s="23"/>
      <c r="X29" s="23"/>
      <c r="Y29" s="23"/>
      <c r="Z29" s="23"/>
      <c r="AA29" s="23"/>
      <c r="AB29" s="23"/>
      <c r="AC29" s="23"/>
      <c r="AD29" s="23"/>
      <c r="AE29" s="23">
        <f t="shared" ref="AE29:AE36" si="66">SUM(S29:AD29)</f>
        <v>0</v>
      </c>
      <c r="AG29" s="23"/>
      <c r="AH29" s="23"/>
      <c r="AI29" s="23"/>
      <c r="AJ29" s="23"/>
      <c r="AK29" s="23"/>
      <c r="AL29" s="23"/>
      <c r="AM29" s="23"/>
      <c r="AN29" s="23"/>
      <c r="AO29" s="23"/>
      <c r="AP29" s="23"/>
      <c r="AQ29" s="23"/>
      <c r="AR29" s="23"/>
      <c r="AS29" s="23">
        <f t="shared" ref="AS29:AS36" si="67">SUM(AG29:AR29)</f>
        <v>0</v>
      </c>
      <c r="AU29" s="23"/>
      <c r="AV29" s="23"/>
      <c r="AW29" s="23"/>
      <c r="AX29" s="23"/>
      <c r="AY29" s="23"/>
      <c r="AZ29" s="23"/>
      <c r="BA29" s="23"/>
      <c r="BB29" s="23"/>
      <c r="BC29" s="23"/>
      <c r="BD29" s="23"/>
      <c r="BE29" s="23"/>
      <c r="BF29" s="23"/>
      <c r="BG29" s="23">
        <f t="shared" ref="BG29:BG36" si="68">SUM(AU29:BF29)</f>
        <v>0</v>
      </c>
      <c r="BI29" s="23"/>
      <c r="BJ29" s="23"/>
      <c r="BK29" s="23"/>
      <c r="BL29" s="23"/>
      <c r="BM29" s="23"/>
      <c r="BN29" s="23"/>
      <c r="BO29" s="23"/>
      <c r="BP29" s="23"/>
      <c r="BQ29" s="23"/>
      <c r="BR29" s="23"/>
      <c r="BS29" s="23"/>
      <c r="BT29" s="23"/>
      <c r="BU29" s="23">
        <f t="shared" ref="BU29:BU36" si="69">SUM(BI29:BT29)</f>
        <v>0</v>
      </c>
      <c r="BW29" s="23"/>
      <c r="BX29" s="23"/>
      <c r="BY29" s="23"/>
      <c r="BZ29" s="23"/>
      <c r="CA29" s="23"/>
      <c r="CB29" s="23"/>
      <c r="CC29" s="23"/>
      <c r="CD29" s="23"/>
      <c r="CE29" s="23"/>
      <c r="CF29" s="23"/>
      <c r="CG29" s="23"/>
      <c r="CH29" s="23"/>
      <c r="CI29" s="23">
        <f t="shared" ref="CI29:CI36" si="70">SUM(BW29:CH29)</f>
        <v>0</v>
      </c>
      <c r="CK29" s="23"/>
      <c r="CL29" s="23"/>
      <c r="CM29" s="23"/>
      <c r="CN29" s="23"/>
      <c r="CO29" s="23"/>
      <c r="CP29" s="23"/>
      <c r="CQ29" s="23"/>
      <c r="CR29" s="23"/>
      <c r="CS29" s="23"/>
      <c r="CT29" s="23"/>
      <c r="CU29" s="23"/>
      <c r="CV29" s="23"/>
      <c r="CW29" s="23">
        <f t="shared" ref="CW29:CW36" si="71">SUM(CK29:CV29)</f>
        <v>0</v>
      </c>
      <c r="CY29" s="23"/>
      <c r="CZ29" s="23"/>
      <c r="DA29" s="23"/>
      <c r="DB29" s="23"/>
      <c r="DC29" s="23"/>
      <c r="DD29" s="23"/>
      <c r="DE29" s="23"/>
      <c r="DF29" s="23"/>
      <c r="DG29" s="23"/>
      <c r="DH29" s="23"/>
      <c r="DI29" s="23"/>
      <c r="DJ29" s="23"/>
      <c r="DK29" s="23">
        <f t="shared" ref="DK29:DK36" si="72">SUM(CY29:DJ29)</f>
        <v>0</v>
      </c>
      <c r="DM29" s="23"/>
      <c r="DN29" s="23"/>
      <c r="DO29" s="23"/>
      <c r="DP29" s="23"/>
      <c r="DQ29" s="23"/>
      <c r="DR29" s="23"/>
      <c r="DS29" s="23"/>
      <c r="DT29" s="23"/>
      <c r="DU29" s="23"/>
      <c r="DV29" s="23"/>
      <c r="DW29" s="23"/>
      <c r="DX29" s="23"/>
      <c r="DY29" s="23">
        <f t="shared" ref="DY29:DY36" si="73">SUM(DM29:DX29)</f>
        <v>0</v>
      </c>
      <c r="EA29" s="23"/>
      <c r="EB29" s="23"/>
      <c r="EC29" s="23"/>
      <c r="ED29" s="23"/>
      <c r="EE29" s="23"/>
      <c r="EF29" s="23"/>
      <c r="EG29" s="23"/>
      <c r="EH29" s="23"/>
      <c r="EI29" s="23"/>
      <c r="EJ29" s="23"/>
      <c r="EK29" s="23"/>
      <c r="EL29" s="23"/>
      <c r="EM29" s="23">
        <f t="shared" ref="EM29:EM36" si="74">SUM(EA29:EL29)</f>
        <v>0</v>
      </c>
      <c r="EO29" s="23"/>
      <c r="EP29" s="23"/>
      <c r="EQ29" s="23"/>
      <c r="ER29" s="23"/>
      <c r="ES29" s="23"/>
      <c r="ET29" s="23"/>
      <c r="EU29" s="23"/>
      <c r="EV29" s="23"/>
      <c r="EW29" s="23"/>
      <c r="EX29" s="23"/>
      <c r="EY29" s="23"/>
      <c r="EZ29" s="23"/>
      <c r="FA29" s="23">
        <f t="shared" ref="FA29:FA36" si="75">SUM(EO29:EZ29)</f>
        <v>0</v>
      </c>
    </row>
    <row r="30" spans="3:157" x14ac:dyDescent="0.25">
      <c r="C30" s="22" t="s">
        <v>29</v>
      </c>
      <c r="E30" s="23">
        <v>0</v>
      </c>
      <c r="F30" s="23" t="s">
        <v>34</v>
      </c>
      <c r="G30" s="23">
        <v>150</v>
      </c>
      <c r="H30" s="23" t="s">
        <v>34</v>
      </c>
      <c r="I30" s="23" t="s">
        <v>34</v>
      </c>
      <c r="J30" s="23">
        <v>150</v>
      </c>
      <c r="K30" s="23" t="s">
        <v>34</v>
      </c>
      <c r="L30" s="23" t="s">
        <v>34</v>
      </c>
      <c r="M30" s="23">
        <v>150</v>
      </c>
      <c r="N30" s="23" t="s">
        <v>34</v>
      </c>
      <c r="O30" s="23" t="s">
        <v>34</v>
      </c>
      <c r="P30" s="23">
        <v>150</v>
      </c>
      <c r="Q30" s="34">
        <f t="shared" si="55"/>
        <v>600</v>
      </c>
      <c r="S30" s="23"/>
      <c r="T30" s="23"/>
      <c r="U30" s="23"/>
      <c r="V30" s="23"/>
      <c r="W30" s="23"/>
      <c r="X30" s="23"/>
      <c r="Y30" s="23"/>
      <c r="Z30" s="23"/>
      <c r="AA30" s="23"/>
      <c r="AB30" s="23"/>
      <c r="AC30" s="23"/>
      <c r="AD30" s="23"/>
      <c r="AE30" s="23">
        <f t="shared" si="66"/>
        <v>0</v>
      </c>
      <c r="AG30" s="23"/>
      <c r="AH30" s="23"/>
      <c r="AI30" s="23"/>
      <c r="AJ30" s="23"/>
      <c r="AK30" s="23"/>
      <c r="AL30" s="23"/>
      <c r="AM30" s="23"/>
      <c r="AN30" s="23"/>
      <c r="AO30" s="23"/>
      <c r="AP30" s="23"/>
      <c r="AQ30" s="23"/>
      <c r="AR30" s="23"/>
      <c r="AS30" s="23">
        <f t="shared" si="67"/>
        <v>0</v>
      </c>
      <c r="AU30" s="23"/>
      <c r="AV30" s="23"/>
      <c r="AW30" s="23"/>
      <c r="AX30" s="23"/>
      <c r="AY30" s="23"/>
      <c r="AZ30" s="23"/>
      <c r="BA30" s="23"/>
      <c r="BB30" s="23"/>
      <c r="BC30" s="23"/>
      <c r="BD30" s="23"/>
      <c r="BE30" s="23"/>
      <c r="BF30" s="23"/>
      <c r="BG30" s="23">
        <f t="shared" si="68"/>
        <v>0</v>
      </c>
      <c r="BI30" s="23"/>
      <c r="BJ30" s="23"/>
      <c r="BK30" s="23"/>
      <c r="BL30" s="23"/>
      <c r="BM30" s="23"/>
      <c r="BN30" s="23"/>
      <c r="BO30" s="23"/>
      <c r="BP30" s="23"/>
      <c r="BQ30" s="23"/>
      <c r="BR30" s="23"/>
      <c r="BS30" s="23"/>
      <c r="BT30" s="23"/>
      <c r="BU30" s="23">
        <f t="shared" si="69"/>
        <v>0</v>
      </c>
      <c r="BW30" s="23"/>
      <c r="BX30" s="23"/>
      <c r="BY30" s="23"/>
      <c r="BZ30" s="23"/>
      <c r="CA30" s="23"/>
      <c r="CB30" s="23"/>
      <c r="CC30" s="23"/>
      <c r="CD30" s="23"/>
      <c r="CE30" s="23"/>
      <c r="CF30" s="23"/>
      <c r="CG30" s="23"/>
      <c r="CH30" s="23"/>
      <c r="CI30" s="23">
        <f t="shared" si="70"/>
        <v>0</v>
      </c>
      <c r="CK30" s="23"/>
      <c r="CL30" s="23"/>
      <c r="CM30" s="23"/>
      <c r="CN30" s="23"/>
      <c r="CO30" s="23"/>
      <c r="CP30" s="23"/>
      <c r="CQ30" s="23"/>
      <c r="CR30" s="23"/>
      <c r="CS30" s="23"/>
      <c r="CT30" s="23"/>
      <c r="CU30" s="23"/>
      <c r="CV30" s="23"/>
      <c r="CW30" s="23">
        <f t="shared" si="71"/>
        <v>0</v>
      </c>
      <c r="CY30" s="23"/>
      <c r="CZ30" s="23"/>
      <c r="DA30" s="23"/>
      <c r="DB30" s="23"/>
      <c r="DC30" s="23"/>
      <c r="DD30" s="23"/>
      <c r="DE30" s="23"/>
      <c r="DF30" s="23"/>
      <c r="DG30" s="23"/>
      <c r="DH30" s="23"/>
      <c r="DI30" s="23"/>
      <c r="DJ30" s="23"/>
      <c r="DK30" s="23">
        <f t="shared" si="72"/>
        <v>0</v>
      </c>
      <c r="DM30" s="23"/>
      <c r="DN30" s="23"/>
      <c r="DO30" s="23"/>
      <c r="DP30" s="23"/>
      <c r="DQ30" s="23"/>
      <c r="DR30" s="23"/>
      <c r="DS30" s="23"/>
      <c r="DT30" s="23"/>
      <c r="DU30" s="23"/>
      <c r="DV30" s="23"/>
      <c r="DW30" s="23"/>
      <c r="DX30" s="23"/>
      <c r="DY30" s="23">
        <f t="shared" si="73"/>
        <v>0</v>
      </c>
      <c r="EA30" s="23"/>
      <c r="EB30" s="23"/>
      <c r="EC30" s="23"/>
      <c r="ED30" s="23"/>
      <c r="EE30" s="23"/>
      <c r="EF30" s="23"/>
      <c r="EG30" s="23"/>
      <c r="EH30" s="23"/>
      <c r="EI30" s="23"/>
      <c r="EJ30" s="23"/>
      <c r="EK30" s="23"/>
      <c r="EL30" s="23"/>
      <c r="EM30" s="23">
        <f t="shared" si="74"/>
        <v>0</v>
      </c>
      <c r="EO30" s="23"/>
      <c r="EP30" s="23"/>
      <c r="EQ30" s="23"/>
      <c r="ER30" s="23"/>
      <c r="ES30" s="23"/>
      <c r="ET30" s="23"/>
      <c r="EU30" s="23"/>
      <c r="EV30" s="23"/>
      <c r="EW30" s="23"/>
      <c r="EX30" s="23"/>
      <c r="EY30" s="23"/>
      <c r="EZ30" s="23"/>
      <c r="FA30" s="23">
        <f t="shared" si="75"/>
        <v>0</v>
      </c>
    </row>
    <row r="31" spans="3:157" x14ac:dyDescent="0.25">
      <c r="C31" s="22" t="s">
        <v>30</v>
      </c>
      <c r="E31" s="23">
        <v>200</v>
      </c>
      <c r="F31" s="23">
        <v>200</v>
      </c>
      <c r="G31" s="23">
        <v>200</v>
      </c>
      <c r="H31" s="23">
        <v>200</v>
      </c>
      <c r="I31" s="23">
        <v>200</v>
      </c>
      <c r="J31" s="23">
        <v>200</v>
      </c>
      <c r="K31" s="23">
        <v>200</v>
      </c>
      <c r="L31" s="23">
        <v>200</v>
      </c>
      <c r="M31" s="23">
        <v>200</v>
      </c>
      <c r="N31" s="23">
        <v>200</v>
      </c>
      <c r="O31" s="23">
        <v>200</v>
      </c>
      <c r="P31" s="23">
        <v>200</v>
      </c>
      <c r="Q31" s="34">
        <f t="shared" si="55"/>
        <v>2400</v>
      </c>
      <c r="S31" s="23"/>
      <c r="T31" s="23"/>
      <c r="U31" s="23"/>
      <c r="V31" s="23"/>
      <c r="W31" s="23"/>
      <c r="X31" s="23"/>
      <c r="Y31" s="23"/>
      <c r="Z31" s="23"/>
      <c r="AA31" s="23"/>
      <c r="AB31" s="23"/>
      <c r="AC31" s="23"/>
      <c r="AD31" s="23"/>
      <c r="AE31" s="23">
        <f t="shared" ref="AE31" si="76">SUM(S31:AD31)</f>
        <v>0</v>
      </c>
      <c r="AG31" s="23"/>
      <c r="AH31" s="23"/>
      <c r="AI31" s="23"/>
      <c r="AJ31" s="23"/>
      <c r="AK31" s="23"/>
      <c r="AL31" s="23"/>
      <c r="AM31" s="23"/>
      <c r="AN31" s="23"/>
      <c r="AO31" s="23"/>
      <c r="AP31" s="23"/>
      <c r="AQ31" s="23"/>
      <c r="AR31" s="23"/>
      <c r="AS31" s="23">
        <f t="shared" ref="AS31" si="77">SUM(AG31:AR31)</f>
        <v>0</v>
      </c>
      <c r="AU31" s="23"/>
      <c r="AV31" s="23"/>
      <c r="AW31" s="23"/>
      <c r="AX31" s="23"/>
      <c r="AY31" s="23"/>
      <c r="AZ31" s="23"/>
      <c r="BA31" s="23"/>
      <c r="BB31" s="23"/>
      <c r="BC31" s="23"/>
      <c r="BD31" s="23"/>
      <c r="BE31" s="23"/>
      <c r="BF31" s="23"/>
      <c r="BG31" s="23">
        <f t="shared" ref="BG31" si="78">SUM(AU31:BF31)</f>
        <v>0</v>
      </c>
      <c r="BI31" s="23"/>
      <c r="BJ31" s="23"/>
      <c r="BK31" s="23"/>
      <c r="BL31" s="23"/>
      <c r="BM31" s="23"/>
      <c r="BN31" s="23"/>
      <c r="BO31" s="23"/>
      <c r="BP31" s="23"/>
      <c r="BQ31" s="23"/>
      <c r="BR31" s="23"/>
      <c r="BS31" s="23"/>
      <c r="BT31" s="23"/>
      <c r="BU31" s="23">
        <f t="shared" ref="BU31" si="79">SUM(BI31:BT31)</f>
        <v>0</v>
      </c>
      <c r="BW31" s="23"/>
      <c r="BX31" s="23"/>
      <c r="BY31" s="23"/>
      <c r="BZ31" s="23"/>
      <c r="CA31" s="23"/>
      <c r="CB31" s="23"/>
      <c r="CC31" s="23"/>
      <c r="CD31" s="23"/>
      <c r="CE31" s="23"/>
      <c r="CF31" s="23"/>
      <c r="CG31" s="23"/>
      <c r="CH31" s="23"/>
      <c r="CI31" s="23">
        <f t="shared" ref="CI31" si="80">SUM(BW31:CH31)</f>
        <v>0</v>
      </c>
      <c r="CK31" s="23"/>
      <c r="CL31" s="23"/>
      <c r="CM31" s="23"/>
      <c r="CN31" s="23"/>
      <c r="CO31" s="23"/>
      <c r="CP31" s="23"/>
      <c r="CQ31" s="23"/>
      <c r="CR31" s="23"/>
      <c r="CS31" s="23"/>
      <c r="CT31" s="23"/>
      <c r="CU31" s="23"/>
      <c r="CV31" s="23"/>
      <c r="CW31" s="23">
        <f t="shared" ref="CW31" si="81">SUM(CK31:CV31)</f>
        <v>0</v>
      </c>
      <c r="CY31" s="23"/>
      <c r="CZ31" s="23"/>
      <c r="DA31" s="23"/>
      <c r="DB31" s="23"/>
      <c r="DC31" s="23"/>
      <c r="DD31" s="23"/>
      <c r="DE31" s="23"/>
      <c r="DF31" s="23"/>
      <c r="DG31" s="23"/>
      <c r="DH31" s="23"/>
      <c r="DI31" s="23"/>
      <c r="DJ31" s="23"/>
      <c r="DK31" s="23">
        <f t="shared" ref="DK31" si="82">SUM(CY31:DJ31)</f>
        <v>0</v>
      </c>
      <c r="DM31" s="23"/>
      <c r="DN31" s="23"/>
      <c r="DO31" s="23"/>
      <c r="DP31" s="23"/>
      <c r="DQ31" s="23"/>
      <c r="DR31" s="23"/>
      <c r="DS31" s="23"/>
      <c r="DT31" s="23"/>
      <c r="DU31" s="23"/>
      <c r="DV31" s="23"/>
      <c r="DW31" s="23"/>
      <c r="DX31" s="23"/>
      <c r="DY31" s="23">
        <f t="shared" ref="DY31" si="83">SUM(DM31:DX31)</f>
        <v>0</v>
      </c>
      <c r="EA31" s="23"/>
      <c r="EB31" s="23"/>
      <c r="EC31" s="23"/>
      <c r="ED31" s="23"/>
      <c r="EE31" s="23"/>
      <c r="EF31" s="23"/>
      <c r="EG31" s="23"/>
      <c r="EH31" s="23"/>
      <c r="EI31" s="23"/>
      <c r="EJ31" s="23"/>
      <c r="EK31" s="23"/>
      <c r="EL31" s="23"/>
      <c r="EM31" s="23">
        <f t="shared" ref="EM31" si="84">SUM(EA31:EL31)</f>
        <v>0</v>
      </c>
      <c r="EO31" s="23"/>
      <c r="EP31" s="23"/>
      <c r="EQ31" s="23"/>
      <c r="ER31" s="23"/>
      <c r="ES31" s="23"/>
      <c r="ET31" s="23"/>
      <c r="EU31" s="23"/>
      <c r="EV31" s="23"/>
      <c r="EW31" s="23"/>
      <c r="EX31" s="23"/>
      <c r="EY31" s="23"/>
      <c r="EZ31" s="23"/>
      <c r="FA31" s="23">
        <f t="shared" ref="FA31" si="85">SUM(EO31:EZ31)</f>
        <v>0</v>
      </c>
    </row>
    <row r="32" spans="3:157" x14ac:dyDescent="0.25">
      <c r="C32" s="22" t="s">
        <v>31</v>
      </c>
      <c r="E32" s="23">
        <v>200</v>
      </c>
      <c r="F32" s="23">
        <v>200</v>
      </c>
      <c r="G32" s="23">
        <v>200</v>
      </c>
      <c r="H32" s="23">
        <v>200</v>
      </c>
      <c r="I32" s="23">
        <v>200</v>
      </c>
      <c r="J32" s="23">
        <v>200</v>
      </c>
      <c r="K32" s="23">
        <v>200</v>
      </c>
      <c r="L32" s="23">
        <v>200</v>
      </c>
      <c r="M32" s="23">
        <v>200</v>
      </c>
      <c r="N32" s="23">
        <v>200</v>
      </c>
      <c r="O32" s="23">
        <v>200</v>
      </c>
      <c r="P32" s="23">
        <v>200</v>
      </c>
      <c r="Q32" s="34">
        <f t="shared" si="55"/>
        <v>2400</v>
      </c>
      <c r="S32" s="23"/>
      <c r="T32" s="23"/>
      <c r="U32" s="23"/>
      <c r="V32" s="23"/>
      <c r="W32" s="23"/>
      <c r="X32" s="23"/>
      <c r="Y32" s="23"/>
      <c r="Z32" s="23"/>
      <c r="AA32" s="23"/>
      <c r="AB32" s="23"/>
      <c r="AC32" s="23"/>
      <c r="AD32" s="23"/>
      <c r="AE32" s="23">
        <f t="shared" si="66"/>
        <v>0</v>
      </c>
      <c r="AG32" s="23"/>
      <c r="AH32" s="23"/>
      <c r="AI32" s="23"/>
      <c r="AJ32" s="23"/>
      <c r="AK32" s="23"/>
      <c r="AL32" s="23"/>
      <c r="AM32" s="23"/>
      <c r="AN32" s="23"/>
      <c r="AO32" s="23"/>
      <c r="AP32" s="23"/>
      <c r="AQ32" s="23"/>
      <c r="AR32" s="23"/>
      <c r="AS32" s="23">
        <f t="shared" si="67"/>
        <v>0</v>
      </c>
      <c r="AU32" s="23"/>
      <c r="AV32" s="23"/>
      <c r="AW32" s="23"/>
      <c r="AX32" s="23"/>
      <c r="AY32" s="23"/>
      <c r="AZ32" s="23"/>
      <c r="BA32" s="23"/>
      <c r="BB32" s="23"/>
      <c r="BC32" s="23"/>
      <c r="BD32" s="23"/>
      <c r="BE32" s="23"/>
      <c r="BF32" s="23"/>
      <c r="BG32" s="23">
        <f t="shared" si="68"/>
        <v>0</v>
      </c>
      <c r="BI32" s="23"/>
      <c r="BJ32" s="23"/>
      <c r="BK32" s="23"/>
      <c r="BL32" s="23"/>
      <c r="BM32" s="23"/>
      <c r="BN32" s="23"/>
      <c r="BO32" s="23"/>
      <c r="BP32" s="23"/>
      <c r="BQ32" s="23"/>
      <c r="BR32" s="23"/>
      <c r="BS32" s="23"/>
      <c r="BT32" s="23"/>
      <c r="BU32" s="23">
        <f t="shared" si="69"/>
        <v>0</v>
      </c>
      <c r="BW32" s="23"/>
      <c r="BX32" s="23"/>
      <c r="BY32" s="23"/>
      <c r="BZ32" s="23"/>
      <c r="CA32" s="23"/>
      <c r="CB32" s="23"/>
      <c r="CC32" s="23"/>
      <c r="CD32" s="23"/>
      <c r="CE32" s="23"/>
      <c r="CF32" s="23"/>
      <c r="CG32" s="23"/>
      <c r="CH32" s="23"/>
      <c r="CI32" s="23">
        <f t="shared" si="70"/>
        <v>0</v>
      </c>
      <c r="CK32" s="23"/>
      <c r="CL32" s="23"/>
      <c r="CM32" s="23"/>
      <c r="CN32" s="23"/>
      <c r="CO32" s="23"/>
      <c r="CP32" s="23"/>
      <c r="CQ32" s="23"/>
      <c r="CR32" s="23"/>
      <c r="CS32" s="23"/>
      <c r="CT32" s="23"/>
      <c r="CU32" s="23"/>
      <c r="CV32" s="23"/>
      <c r="CW32" s="23">
        <f t="shared" si="71"/>
        <v>0</v>
      </c>
      <c r="CY32" s="23"/>
      <c r="CZ32" s="23"/>
      <c r="DA32" s="23"/>
      <c r="DB32" s="23"/>
      <c r="DC32" s="23"/>
      <c r="DD32" s="23"/>
      <c r="DE32" s="23"/>
      <c r="DF32" s="23"/>
      <c r="DG32" s="23"/>
      <c r="DH32" s="23"/>
      <c r="DI32" s="23"/>
      <c r="DJ32" s="23"/>
      <c r="DK32" s="23">
        <f t="shared" si="72"/>
        <v>0</v>
      </c>
      <c r="DM32" s="23"/>
      <c r="DN32" s="23"/>
      <c r="DO32" s="23"/>
      <c r="DP32" s="23"/>
      <c r="DQ32" s="23"/>
      <c r="DR32" s="23"/>
      <c r="DS32" s="23"/>
      <c r="DT32" s="23"/>
      <c r="DU32" s="23"/>
      <c r="DV32" s="23"/>
      <c r="DW32" s="23"/>
      <c r="DX32" s="23"/>
      <c r="DY32" s="23">
        <f t="shared" si="73"/>
        <v>0</v>
      </c>
      <c r="EA32" s="23"/>
      <c r="EB32" s="23"/>
      <c r="EC32" s="23"/>
      <c r="ED32" s="23"/>
      <c r="EE32" s="23"/>
      <c r="EF32" s="23"/>
      <c r="EG32" s="23"/>
      <c r="EH32" s="23"/>
      <c r="EI32" s="23"/>
      <c r="EJ32" s="23"/>
      <c r="EK32" s="23"/>
      <c r="EL32" s="23"/>
      <c r="EM32" s="23">
        <f t="shared" si="74"/>
        <v>0</v>
      </c>
      <c r="EO32" s="23"/>
      <c r="EP32" s="23"/>
      <c r="EQ32" s="23"/>
      <c r="ER32" s="23"/>
      <c r="ES32" s="23"/>
      <c r="ET32" s="23"/>
      <c r="EU32" s="23"/>
      <c r="EV32" s="23"/>
      <c r="EW32" s="23"/>
      <c r="EX32" s="23"/>
      <c r="EY32" s="23"/>
      <c r="EZ32" s="23"/>
      <c r="FA32" s="23">
        <f t="shared" si="75"/>
        <v>0</v>
      </c>
    </row>
    <row r="33" spans="3:157" x14ac:dyDescent="0.25">
      <c r="C33" s="22" t="s">
        <v>32</v>
      </c>
      <c r="E33" s="23">
        <v>50</v>
      </c>
      <c r="F33" s="23">
        <v>50</v>
      </c>
      <c r="G33" s="23">
        <v>50</v>
      </c>
      <c r="H33" s="23">
        <v>50</v>
      </c>
      <c r="I33" s="23">
        <v>50</v>
      </c>
      <c r="J33" s="23">
        <v>50</v>
      </c>
      <c r="K33" s="23">
        <v>50</v>
      </c>
      <c r="L33" s="23">
        <v>50</v>
      </c>
      <c r="M33" s="23">
        <v>50</v>
      </c>
      <c r="N33" s="23">
        <v>50</v>
      </c>
      <c r="O33" s="23">
        <v>50</v>
      </c>
      <c r="P33" s="23">
        <v>50</v>
      </c>
      <c r="Q33" s="34">
        <f t="shared" si="55"/>
        <v>600</v>
      </c>
      <c r="S33" s="23"/>
      <c r="T33" s="23"/>
      <c r="U33" s="23"/>
      <c r="V33" s="23"/>
      <c r="W33" s="23"/>
      <c r="X33" s="23"/>
      <c r="Y33" s="23"/>
      <c r="Z33" s="23"/>
      <c r="AA33" s="23"/>
      <c r="AB33" s="23"/>
      <c r="AC33" s="23"/>
      <c r="AD33" s="23"/>
      <c r="AE33" s="23">
        <f t="shared" si="66"/>
        <v>0</v>
      </c>
      <c r="AG33" s="23"/>
      <c r="AH33" s="23"/>
      <c r="AI33" s="23"/>
      <c r="AJ33" s="23"/>
      <c r="AK33" s="23"/>
      <c r="AL33" s="23"/>
      <c r="AM33" s="23"/>
      <c r="AN33" s="23"/>
      <c r="AO33" s="23"/>
      <c r="AP33" s="23"/>
      <c r="AQ33" s="23"/>
      <c r="AR33" s="23"/>
      <c r="AS33" s="23">
        <f t="shared" si="67"/>
        <v>0</v>
      </c>
      <c r="AU33" s="23"/>
      <c r="AV33" s="23"/>
      <c r="AW33" s="23"/>
      <c r="AX33" s="23"/>
      <c r="AY33" s="23"/>
      <c r="AZ33" s="23"/>
      <c r="BA33" s="23"/>
      <c r="BB33" s="23"/>
      <c r="BC33" s="23"/>
      <c r="BD33" s="23"/>
      <c r="BE33" s="23"/>
      <c r="BF33" s="23"/>
      <c r="BG33" s="23">
        <f t="shared" si="68"/>
        <v>0</v>
      </c>
      <c r="BI33" s="23"/>
      <c r="BJ33" s="23"/>
      <c r="BK33" s="23"/>
      <c r="BL33" s="23"/>
      <c r="BM33" s="23"/>
      <c r="BN33" s="23"/>
      <c r="BO33" s="23"/>
      <c r="BP33" s="23"/>
      <c r="BQ33" s="23"/>
      <c r="BR33" s="23"/>
      <c r="BS33" s="23"/>
      <c r="BT33" s="23"/>
      <c r="BU33" s="23">
        <f t="shared" si="69"/>
        <v>0</v>
      </c>
      <c r="BW33" s="23"/>
      <c r="BX33" s="23"/>
      <c r="BY33" s="23"/>
      <c r="BZ33" s="23"/>
      <c r="CA33" s="23"/>
      <c r="CB33" s="23"/>
      <c r="CC33" s="23"/>
      <c r="CD33" s="23"/>
      <c r="CE33" s="23"/>
      <c r="CF33" s="23"/>
      <c r="CG33" s="23"/>
      <c r="CH33" s="23"/>
      <c r="CI33" s="23">
        <f t="shared" si="70"/>
        <v>0</v>
      </c>
      <c r="CK33" s="23"/>
      <c r="CL33" s="23"/>
      <c r="CM33" s="23"/>
      <c r="CN33" s="23"/>
      <c r="CO33" s="23"/>
      <c r="CP33" s="23"/>
      <c r="CQ33" s="23"/>
      <c r="CR33" s="23"/>
      <c r="CS33" s="23"/>
      <c r="CT33" s="23"/>
      <c r="CU33" s="23"/>
      <c r="CV33" s="23"/>
      <c r="CW33" s="23">
        <f t="shared" si="71"/>
        <v>0</v>
      </c>
      <c r="CY33" s="23"/>
      <c r="CZ33" s="23"/>
      <c r="DA33" s="23"/>
      <c r="DB33" s="23"/>
      <c r="DC33" s="23"/>
      <c r="DD33" s="23"/>
      <c r="DE33" s="23"/>
      <c r="DF33" s="23"/>
      <c r="DG33" s="23"/>
      <c r="DH33" s="23"/>
      <c r="DI33" s="23"/>
      <c r="DJ33" s="23"/>
      <c r="DK33" s="23">
        <f t="shared" si="72"/>
        <v>0</v>
      </c>
      <c r="DM33" s="23"/>
      <c r="DN33" s="23"/>
      <c r="DO33" s="23"/>
      <c r="DP33" s="23"/>
      <c r="DQ33" s="23"/>
      <c r="DR33" s="23"/>
      <c r="DS33" s="23"/>
      <c r="DT33" s="23"/>
      <c r="DU33" s="23"/>
      <c r="DV33" s="23"/>
      <c r="DW33" s="23"/>
      <c r="DX33" s="23"/>
      <c r="DY33" s="23">
        <f t="shared" si="73"/>
        <v>0</v>
      </c>
      <c r="EA33" s="23"/>
      <c r="EB33" s="23"/>
      <c r="EC33" s="23"/>
      <c r="ED33" s="23"/>
      <c r="EE33" s="23"/>
      <c r="EF33" s="23"/>
      <c r="EG33" s="23"/>
      <c r="EH33" s="23"/>
      <c r="EI33" s="23"/>
      <c r="EJ33" s="23"/>
      <c r="EK33" s="23"/>
      <c r="EL33" s="23"/>
      <c r="EM33" s="23">
        <f t="shared" si="74"/>
        <v>0</v>
      </c>
      <c r="EO33" s="23"/>
      <c r="EP33" s="23"/>
      <c r="EQ33" s="23"/>
      <c r="ER33" s="23"/>
      <c r="ES33" s="23"/>
      <c r="ET33" s="23"/>
      <c r="EU33" s="23"/>
      <c r="EV33" s="23"/>
      <c r="EW33" s="23"/>
      <c r="EX33" s="23"/>
      <c r="EY33" s="23"/>
      <c r="EZ33" s="23"/>
      <c r="FA33" s="23">
        <f t="shared" si="75"/>
        <v>0</v>
      </c>
    </row>
    <row r="34" spans="3:157" x14ac:dyDescent="0.25">
      <c r="C34" s="22" t="s">
        <v>33</v>
      </c>
      <c r="E34" s="23">
        <v>300</v>
      </c>
      <c r="F34" s="23">
        <v>300</v>
      </c>
      <c r="G34" s="23">
        <v>300</v>
      </c>
      <c r="H34" s="23">
        <v>1200</v>
      </c>
      <c r="I34" s="23">
        <v>300</v>
      </c>
      <c r="J34" s="23">
        <v>300</v>
      </c>
      <c r="K34" s="23">
        <v>300</v>
      </c>
      <c r="L34" s="23">
        <v>1500</v>
      </c>
      <c r="M34" s="23">
        <v>300</v>
      </c>
      <c r="N34" s="23">
        <v>300</v>
      </c>
      <c r="O34" s="23">
        <v>300</v>
      </c>
      <c r="P34" s="23">
        <v>600</v>
      </c>
      <c r="Q34" s="34">
        <f t="shared" si="55"/>
        <v>6000</v>
      </c>
      <c r="S34" s="23"/>
      <c r="T34" s="23"/>
      <c r="U34" s="23"/>
      <c r="V34" s="23"/>
      <c r="W34" s="23"/>
      <c r="X34" s="23"/>
      <c r="Y34" s="23"/>
      <c r="Z34" s="23"/>
      <c r="AA34" s="23"/>
      <c r="AB34" s="23"/>
      <c r="AC34" s="23"/>
      <c r="AD34" s="23"/>
      <c r="AE34" s="23">
        <f t="shared" si="66"/>
        <v>0</v>
      </c>
      <c r="AG34" s="23"/>
      <c r="AH34" s="23"/>
      <c r="AI34" s="23"/>
      <c r="AJ34" s="23"/>
      <c r="AK34" s="23"/>
      <c r="AL34" s="23"/>
      <c r="AM34" s="23"/>
      <c r="AN34" s="23"/>
      <c r="AO34" s="23"/>
      <c r="AP34" s="23"/>
      <c r="AQ34" s="23"/>
      <c r="AR34" s="23"/>
      <c r="AS34" s="23">
        <f t="shared" si="67"/>
        <v>0</v>
      </c>
      <c r="AU34" s="23"/>
      <c r="AV34" s="23"/>
      <c r="AW34" s="23"/>
      <c r="AX34" s="23"/>
      <c r="AY34" s="23"/>
      <c r="AZ34" s="23"/>
      <c r="BA34" s="23"/>
      <c r="BB34" s="23"/>
      <c r="BC34" s="23"/>
      <c r="BD34" s="23"/>
      <c r="BE34" s="23"/>
      <c r="BF34" s="23"/>
      <c r="BG34" s="23">
        <f t="shared" si="68"/>
        <v>0</v>
      </c>
      <c r="BI34" s="23"/>
      <c r="BJ34" s="23"/>
      <c r="BK34" s="23"/>
      <c r="BL34" s="23"/>
      <c r="BM34" s="23"/>
      <c r="BN34" s="23"/>
      <c r="BO34" s="23"/>
      <c r="BP34" s="23"/>
      <c r="BQ34" s="23"/>
      <c r="BR34" s="23"/>
      <c r="BS34" s="23"/>
      <c r="BT34" s="23"/>
      <c r="BU34" s="23">
        <f t="shared" si="69"/>
        <v>0</v>
      </c>
      <c r="BW34" s="23"/>
      <c r="BX34" s="23"/>
      <c r="BY34" s="23"/>
      <c r="BZ34" s="23"/>
      <c r="CA34" s="23"/>
      <c r="CB34" s="23"/>
      <c r="CC34" s="23"/>
      <c r="CD34" s="23"/>
      <c r="CE34" s="23"/>
      <c r="CF34" s="23"/>
      <c r="CG34" s="23"/>
      <c r="CH34" s="23"/>
      <c r="CI34" s="23">
        <f t="shared" si="70"/>
        <v>0</v>
      </c>
      <c r="CK34" s="23"/>
      <c r="CL34" s="23"/>
      <c r="CM34" s="23"/>
      <c r="CN34" s="23"/>
      <c r="CO34" s="23"/>
      <c r="CP34" s="23"/>
      <c r="CQ34" s="23"/>
      <c r="CR34" s="23"/>
      <c r="CS34" s="23"/>
      <c r="CT34" s="23"/>
      <c r="CU34" s="23"/>
      <c r="CV34" s="23"/>
      <c r="CW34" s="23">
        <f t="shared" si="71"/>
        <v>0</v>
      </c>
      <c r="CY34" s="23"/>
      <c r="CZ34" s="23"/>
      <c r="DA34" s="23"/>
      <c r="DB34" s="23"/>
      <c r="DC34" s="23"/>
      <c r="DD34" s="23"/>
      <c r="DE34" s="23"/>
      <c r="DF34" s="23"/>
      <c r="DG34" s="23"/>
      <c r="DH34" s="23"/>
      <c r="DI34" s="23"/>
      <c r="DJ34" s="23"/>
      <c r="DK34" s="23">
        <f t="shared" si="72"/>
        <v>0</v>
      </c>
      <c r="DM34" s="23"/>
      <c r="DN34" s="23"/>
      <c r="DO34" s="23"/>
      <c r="DP34" s="23"/>
      <c r="DQ34" s="23"/>
      <c r="DR34" s="23"/>
      <c r="DS34" s="23"/>
      <c r="DT34" s="23"/>
      <c r="DU34" s="23"/>
      <c r="DV34" s="23"/>
      <c r="DW34" s="23"/>
      <c r="DX34" s="23"/>
      <c r="DY34" s="23">
        <f t="shared" si="73"/>
        <v>0</v>
      </c>
      <c r="EA34" s="23"/>
      <c r="EB34" s="23"/>
      <c r="EC34" s="23"/>
      <c r="ED34" s="23"/>
      <c r="EE34" s="23"/>
      <c r="EF34" s="23"/>
      <c r="EG34" s="23"/>
      <c r="EH34" s="23"/>
      <c r="EI34" s="23"/>
      <c r="EJ34" s="23"/>
      <c r="EK34" s="23"/>
      <c r="EL34" s="23"/>
      <c r="EM34" s="23">
        <f t="shared" si="74"/>
        <v>0</v>
      </c>
      <c r="EO34" s="23"/>
      <c r="EP34" s="23"/>
      <c r="EQ34" s="23"/>
      <c r="ER34" s="23"/>
      <c r="ES34" s="23"/>
      <c r="ET34" s="23"/>
      <c r="EU34" s="23"/>
      <c r="EV34" s="23"/>
      <c r="EW34" s="23"/>
      <c r="EX34" s="23"/>
      <c r="EY34" s="23"/>
      <c r="EZ34" s="23"/>
      <c r="FA34" s="23">
        <f t="shared" si="75"/>
        <v>0</v>
      </c>
    </row>
    <row r="35" spans="3:157" hidden="1" x14ac:dyDescent="0.25">
      <c r="C35" s="22" t="s">
        <v>21</v>
      </c>
      <c r="E35" s="23"/>
      <c r="F35" s="23"/>
      <c r="G35" s="23"/>
      <c r="H35" s="23"/>
      <c r="I35" s="23"/>
      <c r="J35" s="23"/>
      <c r="K35" s="23"/>
      <c r="L35" s="23"/>
      <c r="M35" s="23"/>
      <c r="N35" s="23"/>
      <c r="O35" s="23"/>
      <c r="P35" s="23"/>
      <c r="Q35" s="34">
        <f t="shared" si="55"/>
        <v>0</v>
      </c>
      <c r="S35" s="23"/>
      <c r="T35" s="23"/>
      <c r="U35" s="23"/>
      <c r="V35" s="23"/>
      <c r="W35" s="23"/>
      <c r="X35" s="23"/>
      <c r="Y35" s="23"/>
      <c r="Z35" s="23"/>
      <c r="AA35" s="23"/>
      <c r="AB35" s="23"/>
      <c r="AC35" s="23"/>
      <c r="AD35" s="23"/>
      <c r="AE35" s="23">
        <f t="shared" si="66"/>
        <v>0</v>
      </c>
      <c r="AG35" s="23"/>
      <c r="AH35" s="23"/>
      <c r="AI35" s="23"/>
      <c r="AJ35" s="23"/>
      <c r="AK35" s="23"/>
      <c r="AL35" s="23"/>
      <c r="AM35" s="23"/>
      <c r="AN35" s="23"/>
      <c r="AO35" s="23"/>
      <c r="AP35" s="23"/>
      <c r="AQ35" s="23"/>
      <c r="AR35" s="23"/>
      <c r="AS35" s="23">
        <f t="shared" si="67"/>
        <v>0</v>
      </c>
      <c r="AU35" s="23"/>
      <c r="AV35" s="23"/>
      <c r="AW35" s="23"/>
      <c r="AX35" s="23"/>
      <c r="AY35" s="23"/>
      <c r="AZ35" s="23"/>
      <c r="BA35" s="23"/>
      <c r="BB35" s="23"/>
      <c r="BC35" s="23"/>
      <c r="BD35" s="23"/>
      <c r="BE35" s="23"/>
      <c r="BF35" s="23"/>
      <c r="BG35" s="23">
        <f t="shared" si="68"/>
        <v>0</v>
      </c>
      <c r="BI35" s="23"/>
      <c r="BJ35" s="23"/>
      <c r="BK35" s="23"/>
      <c r="BL35" s="23"/>
      <c r="BM35" s="23"/>
      <c r="BN35" s="23"/>
      <c r="BO35" s="23"/>
      <c r="BP35" s="23"/>
      <c r="BQ35" s="23"/>
      <c r="BR35" s="23"/>
      <c r="BS35" s="23"/>
      <c r="BT35" s="23"/>
      <c r="BU35" s="23">
        <f t="shared" si="69"/>
        <v>0</v>
      </c>
      <c r="BW35" s="23"/>
      <c r="BX35" s="23"/>
      <c r="BY35" s="23"/>
      <c r="BZ35" s="23"/>
      <c r="CA35" s="23"/>
      <c r="CB35" s="23"/>
      <c r="CC35" s="23"/>
      <c r="CD35" s="23"/>
      <c r="CE35" s="23"/>
      <c r="CF35" s="23"/>
      <c r="CG35" s="23"/>
      <c r="CH35" s="23"/>
      <c r="CI35" s="23">
        <f t="shared" si="70"/>
        <v>0</v>
      </c>
      <c r="CK35" s="23"/>
      <c r="CL35" s="23"/>
      <c r="CM35" s="23"/>
      <c r="CN35" s="23"/>
      <c r="CO35" s="23"/>
      <c r="CP35" s="23"/>
      <c r="CQ35" s="23"/>
      <c r="CR35" s="23"/>
      <c r="CS35" s="23"/>
      <c r="CT35" s="23"/>
      <c r="CU35" s="23"/>
      <c r="CV35" s="23"/>
      <c r="CW35" s="23">
        <f t="shared" si="71"/>
        <v>0</v>
      </c>
      <c r="CY35" s="23"/>
      <c r="CZ35" s="23"/>
      <c r="DA35" s="23"/>
      <c r="DB35" s="23"/>
      <c r="DC35" s="23"/>
      <c r="DD35" s="23"/>
      <c r="DE35" s="23"/>
      <c r="DF35" s="23"/>
      <c r="DG35" s="23"/>
      <c r="DH35" s="23"/>
      <c r="DI35" s="23"/>
      <c r="DJ35" s="23"/>
      <c r="DK35" s="23">
        <f t="shared" si="72"/>
        <v>0</v>
      </c>
      <c r="DM35" s="23"/>
      <c r="DN35" s="23"/>
      <c r="DO35" s="23"/>
      <c r="DP35" s="23"/>
      <c r="DQ35" s="23"/>
      <c r="DR35" s="23"/>
      <c r="DS35" s="23"/>
      <c r="DT35" s="23"/>
      <c r="DU35" s="23"/>
      <c r="DV35" s="23"/>
      <c r="DW35" s="23"/>
      <c r="DX35" s="23"/>
      <c r="DY35" s="23">
        <f t="shared" si="73"/>
        <v>0</v>
      </c>
      <c r="EA35" s="23"/>
      <c r="EB35" s="23"/>
      <c r="EC35" s="23"/>
      <c r="ED35" s="23"/>
      <c r="EE35" s="23"/>
      <c r="EF35" s="23"/>
      <c r="EG35" s="23"/>
      <c r="EH35" s="23"/>
      <c r="EI35" s="23"/>
      <c r="EJ35" s="23"/>
      <c r="EK35" s="23"/>
      <c r="EL35" s="23"/>
      <c r="EM35" s="23">
        <f t="shared" si="74"/>
        <v>0</v>
      </c>
      <c r="EO35" s="23"/>
      <c r="EP35" s="23"/>
      <c r="EQ35" s="23"/>
      <c r="ER35" s="23"/>
      <c r="ES35" s="23"/>
      <c r="ET35" s="23"/>
      <c r="EU35" s="23"/>
      <c r="EV35" s="23"/>
      <c r="EW35" s="23"/>
      <c r="EX35" s="23"/>
      <c r="EY35" s="23"/>
      <c r="EZ35" s="23"/>
      <c r="FA35" s="23">
        <f t="shared" si="75"/>
        <v>0</v>
      </c>
    </row>
    <row r="36" spans="3:157" hidden="1" x14ac:dyDescent="0.25">
      <c r="C36" s="22" t="s">
        <v>21</v>
      </c>
      <c r="E36" s="23"/>
      <c r="F36" s="23"/>
      <c r="G36" s="23"/>
      <c r="H36" s="23"/>
      <c r="I36" s="23"/>
      <c r="J36" s="23"/>
      <c r="K36" s="23"/>
      <c r="L36" s="23"/>
      <c r="M36" s="23"/>
      <c r="N36" s="23"/>
      <c r="O36" s="23"/>
      <c r="P36" s="23"/>
      <c r="Q36" s="34">
        <f t="shared" si="55"/>
        <v>0</v>
      </c>
      <c r="S36" s="23"/>
      <c r="T36" s="23"/>
      <c r="U36" s="23"/>
      <c r="V36" s="23"/>
      <c r="W36" s="23"/>
      <c r="X36" s="23"/>
      <c r="Y36" s="23"/>
      <c r="Z36" s="23"/>
      <c r="AA36" s="23"/>
      <c r="AB36" s="23"/>
      <c r="AC36" s="23"/>
      <c r="AD36" s="23"/>
      <c r="AE36" s="23">
        <f t="shared" si="66"/>
        <v>0</v>
      </c>
      <c r="AG36" s="23"/>
      <c r="AH36" s="23"/>
      <c r="AI36" s="23"/>
      <c r="AJ36" s="23"/>
      <c r="AK36" s="23"/>
      <c r="AL36" s="23"/>
      <c r="AM36" s="23"/>
      <c r="AN36" s="23"/>
      <c r="AO36" s="23"/>
      <c r="AP36" s="23"/>
      <c r="AQ36" s="23"/>
      <c r="AR36" s="23"/>
      <c r="AS36" s="23">
        <f t="shared" si="67"/>
        <v>0</v>
      </c>
      <c r="AU36" s="23"/>
      <c r="AV36" s="23"/>
      <c r="AW36" s="23"/>
      <c r="AX36" s="23"/>
      <c r="AY36" s="23"/>
      <c r="AZ36" s="23"/>
      <c r="BA36" s="23"/>
      <c r="BB36" s="23"/>
      <c r="BC36" s="23"/>
      <c r="BD36" s="23"/>
      <c r="BE36" s="23"/>
      <c r="BF36" s="23"/>
      <c r="BG36" s="23">
        <f t="shared" si="68"/>
        <v>0</v>
      </c>
      <c r="BI36" s="23"/>
      <c r="BJ36" s="23"/>
      <c r="BK36" s="23"/>
      <c r="BL36" s="23"/>
      <c r="BM36" s="23"/>
      <c r="BN36" s="23"/>
      <c r="BO36" s="23"/>
      <c r="BP36" s="23"/>
      <c r="BQ36" s="23"/>
      <c r="BR36" s="23"/>
      <c r="BS36" s="23"/>
      <c r="BT36" s="23"/>
      <c r="BU36" s="23">
        <f t="shared" si="69"/>
        <v>0</v>
      </c>
      <c r="BW36" s="23"/>
      <c r="BX36" s="23"/>
      <c r="BY36" s="23"/>
      <c r="BZ36" s="23"/>
      <c r="CA36" s="23"/>
      <c r="CB36" s="23"/>
      <c r="CC36" s="23"/>
      <c r="CD36" s="23"/>
      <c r="CE36" s="23"/>
      <c r="CF36" s="23"/>
      <c r="CG36" s="23"/>
      <c r="CH36" s="23"/>
      <c r="CI36" s="23">
        <f t="shared" si="70"/>
        <v>0</v>
      </c>
      <c r="CK36" s="23"/>
      <c r="CL36" s="23"/>
      <c r="CM36" s="23"/>
      <c r="CN36" s="23"/>
      <c r="CO36" s="23"/>
      <c r="CP36" s="23"/>
      <c r="CQ36" s="23"/>
      <c r="CR36" s="23"/>
      <c r="CS36" s="23"/>
      <c r="CT36" s="23"/>
      <c r="CU36" s="23"/>
      <c r="CV36" s="23"/>
      <c r="CW36" s="23">
        <f t="shared" si="71"/>
        <v>0</v>
      </c>
      <c r="CY36" s="23"/>
      <c r="CZ36" s="23"/>
      <c r="DA36" s="23"/>
      <c r="DB36" s="23"/>
      <c r="DC36" s="23"/>
      <c r="DD36" s="23"/>
      <c r="DE36" s="23"/>
      <c r="DF36" s="23"/>
      <c r="DG36" s="23"/>
      <c r="DH36" s="23"/>
      <c r="DI36" s="23"/>
      <c r="DJ36" s="23"/>
      <c r="DK36" s="23">
        <f t="shared" si="72"/>
        <v>0</v>
      </c>
      <c r="DM36" s="23"/>
      <c r="DN36" s="23"/>
      <c r="DO36" s="23"/>
      <c r="DP36" s="23"/>
      <c r="DQ36" s="23"/>
      <c r="DR36" s="23"/>
      <c r="DS36" s="23"/>
      <c r="DT36" s="23"/>
      <c r="DU36" s="23"/>
      <c r="DV36" s="23"/>
      <c r="DW36" s="23"/>
      <c r="DX36" s="23"/>
      <c r="DY36" s="23">
        <f t="shared" si="73"/>
        <v>0</v>
      </c>
      <c r="EA36" s="23"/>
      <c r="EB36" s="23"/>
      <c r="EC36" s="23"/>
      <c r="ED36" s="23"/>
      <c r="EE36" s="23"/>
      <c r="EF36" s="23"/>
      <c r="EG36" s="23"/>
      <c r="EH36" s="23"/>
      <c r="EI36" s="23"/>
      <c r="EJ36" s="23"/>
      <c r="EK36" s="23"/>
      <c r="EL36" s="23"/>
      <c r="EM36" s="23">
        <f t="shared" si="74"/>
        <v>0</v>
      </c>
      <c r="EO36" s="23"/>
      <c r="EP36" s="23"/>
      <c r="EQ36" s="23"/>
      <c r="ER36" s="23"/>
      <c r="ES36" s="23"/>
      <c r="ET36" s="23"/>
      <c r="EU36" s="23"/>
      <c r="EV36" s="23"/>
      <c r="EW36" s="23"/>
      <c r="EX36" s="23"/>
      <c r="EY36" s="23"/>
      <c r="EZ36" s="23"/>
      <c r="FA36" s="23">
        <f t="shared" si="75"/>
        <v>0</v>
      </c>
    </row>
    <row r="37" spans="3:157" x14ac:dyDescent="0.25">
      <c r="C37" s="18" t="s">
        <v>13</v>
      </c>
      <c r="E37" s="29">
        <f t="shared" ref="E37:P37" ca="1" si="86">SUM(INDIRECT(ADDRESS(expenses_min_row,COLUMN())&amp; ":"&amp; ADDRESS(expenses_max_row,COLUMN())))</f>
        <v>2900</v>
      </c>
      <c r="F37" s="29">
        <f t="shared" ca="1" si="86"/>
        <v>2900</v>
      </c>
      <c r="G37" s="29">
        <f t="shared" ca="1" si="86"/>
        <v>3050</v>
      </c>
      <c r="H37" s="29">
        <f t="shared" ca="1" si="86"/>
        <v>3800</v>
      </c>
      <c r="I37" s="29">
        <f t="shared" ca="1" si="86"/>
        <v>2900</v>
      </c>
      <c r="J37" s="29">
        <f t="shared" ca="1" si="86"/>
        <v>3050</v>
      </c>
      <c r="K37" s="29">
        <f t="shared" ca="1" si="86"/>
        <v>2900</v>
      </c>
      <c r="L37" s="29">
        <f t="shared" ca="1" si="86"/>
        <v>4100</v>
      </c>
      <c r="M37" s="29">
        <f t="shared" ca="1" si="86"/>
        <v>3050</v>
      </c>
      <c r="N37" s="29">
        <f t="shared" ca="1" si="86"/>
        <v>2900</v>
      </c>
      <c r="O37" s="29">
        <f t="shared" ca="1" si="86"/>
        <v>2900</v>
      </c>
      <c r="P37" s="29">
        <f t="shared" ca="1" si="86"/>
        <v>3350</v>
      </c>
      <c r="Q37" s="36">
        <f t="shared" ca="1" si="55"/>
        <v>37800</v>
      </c>
      <c r="S37" s="23">
        <f t="shared" ref="S37:AE37" ca="1" si="87">SUM(INDIRECT(ADDRESS(expenses_min_row,COLUMN())&amp; ":"&amp; ADDRESS(expenses_max_row,COLUMN())))</f>
        <v>0</v>
      </c>
      <c r="T37" s="23">
        <f t="shared" ca="1" si="87"/>
        <v>0</v>
      </c>
      <c r="U37" s="23">
        <f t="shared" ca="1" si="87"/>
        <v>0</v>
      </c>
      <c r="V37" s="23">
        <f t="shared" ca="1" si="87"/>
        <v>0</v>
      </c>
      <c r="W37" s="23">
        <f t="shared" ca="1" si="87"/>
        <v>0</v>
      </c>
      <c r="X37" s="23">
        <f t="shared" ca="1" si="87"/>
        <v>0</v>
      </c>
      <c r="Y37" s="23">
        <f t="shared" ca="1" si="87"/>
        <v>0</v>
      </c>
      <c r="Z37" s="23">
        <f t="shared" ca="1" si="87"/>
        <v>0</v>
      </c>
      <c r="AA37" s="23">
        <f t="shared" ca="1" si="87"/>
        <v>0</v>
      </c>
      <c r="AB37" s="23">
        <f t="shared" ca="1" si="87"/>
        <v>0</v>
      </c>
      <c r="AC37" s="23">
        <f t="shared" ca="1" si="87"/>
        <v>0</v>
      </c>
      <c r="AD37" s="23">
        <f t="shared" ca="1" si="87"/>
        <v>0</v>
      </c>
      <c r="AE37" s="23">
        <f t="shared" ca="1" si="87"/>
        <v>0</v>
      </c>
      <c r="AG37" s="23">
        <f t="shared" ref="AG37:AS37" ca="1" si="88">SUM(INDIRECT(ADDRESS(expenses_min_row,COLUMN())&amp; ":"&amp; ADDRESS(expenses_max_row,COLUMN())))</f>
        <v>0</v>
      </c>
      <c r="AH37" s="23">
        <f t="shared" ca="1" si="88"/>
        <v>0</v>
      </c>
      <c r="AI37" s="23">
        <f t="shared" ca="1" si="88"/>
        <v>0</v>
      </c>
      <c r="AJ37" s="23">
        <f t="shared" ca="1" si="88"/>
        <v>0</v>
      </c>
      <c r="AK37" s="23">
        <f t="shared" ca="1" si="88"/>
        <v>0</v>
      </c>
      <c r="AL37" s="23">
        <f t="shared" ca="1" si="88"/>
        <v>0</v>
      </c>
      <c r="AM37" s="23">
        <f t="shared" ca="1" si="88"/>
        <v>0</v>
      </c>
      <c r="AN37" s="23">
        <f t="shared" ca="1" si="88"/>
        <v>0</v>
      </c>
      <c r="AO37" s="23">
        <f t="shared" ca="1" si="88"/>
        <v>0</v>
      </c>
      <c r="AP37" s="23">
        <f t="shared" ca="1" si="88"/>
        <v>0</v>
      </c>
      <c r="AQ37" s="23">
        <f t="shared" ca="1" si="88"/>
        <v>0</v>
      </c>
      <c r="AR37" s="23">
        <f t="shared" ca="1" si="88"/>
        <v>0</v>
      </c>
      <c r="AS37" s="23">
        <f t="shared" ca="1" si="88"/>
        <v>0</v>
      </c>
      <c r="AU37" s="23">
        <f t="shared" ref="AU37:BG37" ca="1" si="89">SUM(INDIRECT(ADDRESS(expenses_min_row,COLUMN())&amp; ":"&amp; ADDRESS(expenses_max_row,COLUMN())))</f>
        <v>0</v>
      </c>
      <c r="AV37" s="23">
        <f t="shared" ca="1" si="89"/>
        <v>0</v>
      </c>
      <c r="AW37" s="23">
        <f t="shared" ca="1" si="89"/>
        <v>0</v>
      </c>
      <c r="AX37" s="23">
        <f t="shared" ca="1" si="89"/>
        <v>0</v>
      </c>
      <c r="AY37" s="23">
        <f t="shared" ca="1" si="89"/>
        <v>0</v>
      </c>
      <c r="AZ37" s="23">
        <f t="shared" ca="1" si="89"/>
        <v>0</v>
      </c>
      <c r="BA37" s="23">
        <f t="shared" ca="1" si="89"/>
        <v>0</v>
      </c>
      <c r="BB37" s="23">
        <f t="shared" ca="1" si="89"/>
        <v>0</v>
      </c>
      <c r="BC37" s="23">
        <f t="shared" ca="1" si="89"/>
        <v>0</v>
      </c>
      <c r="BD37" s="23">
        <f t="shared" ca="1" si="89"/>
        <v>0</v>
      </c>
      <c r="BE37" s="23">
        <f t="shared" ca="1" si="89"/>
        <v>0</v>
      </c>
      <c r="BF37" s="23">
        <f t="shared" ca="1" si="89"/>
        <v>0</v>
      </c>
      <c r="BG37" s="23">
        <f t="shared" ca="1" si="89"/>
        <v>0</v>
      </c>
      <c r="BI37" s="23">
        <f t="shared" ref="BI37:BU37" ca="1" si="90">SUM(INDIRECT(ADDRESS(expenses_min_row,COLUMN())&amp; ":"&amp; ADDRESS(expenses_max_row,COLUMN())))</f>
        <v>0</v>
      </c>
      <c r="BJ37" s="23">
        <f t="shared" ca="1" si="90"/>
        <v>0</v>
      </c>
      <c r="BK37" s="23">
        <f t="shared" ca="1" si="90"/>
        <v>0</v>
      </c>
      <c r="BL37" s="23">
        <f t="shared" ca="1" si="90"/>
        <v>0</v>
      </c>
      <c r="BM37" s="23">
        <f t="shared" ca="1" si="90"/>
        <v>0</v>
      </c>
      <c r="BN37" s="23">
        <f t="shared" ca="1" si="90"/>
        <v>0</v>
      </c>
      <c r="BO37" s="23">
        <f t="shared" ca="1" si="90"/>
        <v>0</v>
      </c>
      <c r="BP37" s="23">
        <f t="shared" ca="1" si="90"/>
        <v>0</v>
      </c>
      <c r="BQ37" s="23">
        <f t="shared" ca="1" si="90"/>
        <v>0</v>
      </c>
      <c r="BR37" s="23">
        <f t="shared" ca="1" si="90"/>
        <v>0</v>
      </c>
      <c r="BS37" s="23">
        <f t="shared" ca="1" si="90"/>
        <v>0</v>
      </c>
      <c r="BT37" s="23">
        <f t="shared" ca="1" si="90"/>
        <v>0</v>
      </c>
      <c r="BU37" s="23">
        <f t="shared" ca="1" si="90"/>
        <v>0</v>
      </c>
      <c r="BW37" s="23">
        <f t="shared" ref="BW37:CI37" ca="1" si="91">SUM(INDIRECT(ADDRESS(expenses_min_row,COLUMN())&amp; ":"&amp; ADDRESS(expenses_max_row,COLUMN())))</f>
        <v>0</v>
      </c>
      <c r="BX37" s="23">
        <f t="shared" ca="1" si="91"/>
        <v>0</v>
      </c>
      <c r="BY37" s="23">
        <f t="shared" ca="1" si="91"/>
        <v>0</v>
      </c>
      <c r="BZ37" s="23">
        <f t="shared" ca="1" si="91"/>
        <v>0</v>
      </c>
      <c r="CA37" s="23">
        <f t="shared" ca="1" si="91"/>
        <v>0</v>
      </c>
      <c r="CB37" s="23">
        <f t="shared" ca="1" si="91"/>
        <v>0</v>
      </c>
      <c r="CC37" s="23">
        <f t="shared" ca="1" si="91"/>
        <v>0</v>
      </c>
      <c r="CD37" s="23">
        <f t="shared" ca="1" si="91"/>
        <v>0</v>
      </c>
      <c r="CE37" s="23">
        <f t="shared" ca="1" si="91"/>
        <v>0</v>
      </c>
      <c r="CF37" s="23">
        <f t="shared" ca="1" si="91"/>
        <v>0</v>
      </c>
      <c r="CG37" s="23">
        <f t="shared" ca="1" si="91"/>
        <v>0</v>
      </c>
      <c r="CH37" s="23">
        <f t="shared" ca="1" si="91"/>
        <v>0</v>
      </c>
      <c r="CI37" s="23">
        <f t="shared" ca="1" si="91"/>
        <v>0</v>
      </c>
      <c r="CK37" s="23">
        <f t="shared" ref="CK37:CW37" ca="1" si="92">SUM(INDIRECT(ADDRESS(expenses_min_row,COLUMN())&amp; ":"&amp; ADDRESS(expenses_max_row,COLUMN())))</f>
        <v>0</v>
      </c>
      <c r="CL37" s="23">
        <f t="shared" ca="1" si="92"/>
        <v>0</v>
      </c>
      <c r="CM37" s="23">
        <f t="shared" ca="1" si="92"/>
        <v>0</v>
      </c>
      <c r="CN37" s="23">
        <f t="shared" ca="1" si="92"/>
        <v>0</v>
      </c>
      <c r="CO37" s="23">
        <f t="shared" ca="1" si="92"/>
        <v>0</v>
      </c>
      <c r="CP37" s="23">
        <f t="shared" ca="1" si="92"/>
        <v>0</v>
      </c>
      <c r="CQ37" s="23">
        <f t="shared" ca="1" si="92"/>
        <v>0</v>
      </c>
      <c r="CR37" s="23">
        <f t="shared" ca="1" si="92"/>
        <v>0</v>
      </c>
      <c r="CS37" s="23">
        <f t="shared" ca="1" si="92"/>
        <v>0</v>
      </c>
      <c r="CT37" s="23">
        <f t="shared" ca="1" si="92"/>
        <v>0</v>
      </c>
      <c r="CU37" s="23">
        <f t="shared" ca="1" si="92"/>
        <v>0</v>
      </c>
      <c r="CV37" s="23">
        <f t="shared" ca="1" si="92"/>
        <v>0</v>
      </c>
      <c r="CW37" s="23">
        <f t="shared" ca="1" si="92"/>
        <v>0</v>
      </c>
      <c r="CY37" s="23">
        <f t="shared" ref="CY37:DK37" ca="1" si="93">SUM(INDIRECT(ADDRESS(expenses_min_row,COLUMN())&amp; ":"&amp; ADDRESS(expenses_max_row,COLUMN())))</f>
        <v>0</v>
      </c>
      <c r="CZ37" s="23">
        <f t="shared" ca="1" si="93"/>
        <v>0</v>
      </c>
      <c r="DA37" s="23">
        <f t="shared" ca="1" si="93"/>
        <v>0</v>
      </c>
      <c r="DB37" s="23">
        <f t="shared" ca="1" si="93"/>
        <v>0</v>
      </c>
      <c r="DC37" s="23">
        <f t="shared" ca="1" si="93"/>
        <v>0</v>
      </c>
      <c r="DD37" s="23">
        <f t="shared" ca="1" si="93"/>
        <v>0</v>
      </c>
      <c r="DE37" s="23">
        <f t="shared" ca="1" si="93"/>
        <v>0</v>
      </c>
      <c r="DF37" s="23">
        <f t="shared" ca="1" si="93"/>
        <v>0</v>
      </c>
      <c r="DG37" s="23">
        <f t="shared" ca="1" si="93"/>
        <v>0</v>
      </c>
      <c r="DH37" s="23">
        <f t="shared" ca="1" si="93"/>
        <v>0</v>
      </c>
      <c r="DI37" s="23">
        <f t="shared" ca="1" si="93"/>
        <v>0</v>
      </c>
      <c r="DJ37" s="23">
        <f t="shared" ca="1" si="93"/>
        <v>0</v>
      </c>
      <c r="DK37" s="23">
        <f t="shared" ca="1" si="93"/>
        <v>0</v>
      </c>
      <c r="DM37" s="23">
        <f t="shared" ref="DM37:DY37" ca="1" si="94">SUM(INDIRECT(ADDRESS(expenses_min_row,COLUMN())&amp; ":"&amp; ADDRESS(expenses_max_row,COLUMN())))</f>
        <v>0</v>
      </c>
      <c r="DN37" s="23">
        <f t="shared" ca="1" si="94"/>
        <v>0</v>
      </c>
      <c r="DO37" s="23">
        <f t="shared" ca="1" si="94"/>
        <v>0</v>
      </c>
      <c r="DP37" s="23">
        <f t="shared" ca="1" si="94"/>
        <v>0</v>
      </c>
      <c r="DQ37" s="23">
        <f t="shared" ca="1" si="94"/>
        <v>0</v>
      </c>
      <c r="DR37" s="23">
        <f t="shared" ca="1" si="94"/>
        <v>0</v>
      </c>
      <c r="DS37" s="23">
        <f t="shared" ca="1" si="94"/>
        <v>0</v>
      </c>
      <c r="DT37" s="23">
        <f t="shared" ca="1" si="94"/>
        <v>0</v>
      </c>
      <c r="DU37" s="23">
        <f t="shared" ca="1" si="94"/>
        <v>0</v>
      </c>
      <c r="DV37" s="23">
        <f t="shared" ca="1" si="94"/>
        <v>0</v>
      </c>
      <c r="DW37" s="23">
        <f t="shared" ca="1" si="94"/>
        <v>0</v>
      </c>
      <c r="DX37" s="23">
        <f t="shared" ca="1" si="94"/>
        <v>0</v>
      </c>
      <c r="DY37" s="23">
        <f t="shared" ca="1" si="94"/>
        <v>0</v>
      </c>
      <c r="EA37" s="23">
        <f t="shared" ref="EA37:EM37" ca="1" si="95">SUM(INDIRECT(ADDRESS(expenses_min_row,COLUMN())&amp; ":"&amp; ADDRESS(expenses_max_row,COLUMN())))</f>
        <v>0</v>
      </c>
      <c r="EB37" s="23">
        <f t="shared" ca="1" si="95"/>
        <v>0</v>
      </c>
      <c r="EC37" s="23">
        <f t="shared" ca="1" si="95"/>
        <v>0</v>
      </c>
      <c r="ED37" s="23">
        <f t="shared" ca="1" si="95"/>
        <v>0</v>
      </c>
      <c r="EE37" s="23">
        <f t="shared" ca="1" si="95"/>
        <v>0</v>
      </c>
      <c r="EF37" s="23">
        <f t="shared" ca="1" si="95"/>
        <v>0</v>
      </c>
      <c r="EG37" s="23">
        <f t="shared" ca="1" si="95"/>
        <v>0</v>
      </c>
      <c r="EH37" s="23">
        <f t="shared" ca="1" si="95"/>
        <v>0</v>
      </c>
      <c r="EI37" s="23">
        <f t="shared" ca="1" si="95"/>
        <v>0</v>
      </c>
      <c r="EJ37" s="23">
        <f t="shared" ca="1" si="95"/>
        <v>0</v>
      </c>
      <c r="EK37" s="23">
        <f t="shared" ca="1" si="95"/>
        <v>0</v>
      </c>
      <c r="EL37" s="23">
        <f t="shared" ca="1" si="95"/>
        <v>0</v>
      </c>
      <c r="EM37" s="23">
        <f t="shared" ca="1" si="95"/>
        <v>0</v>
      </c>
      <c r="EO37" s="23">
        <f t="shared" ref="EO37:FA37" ca="1" si="96">SUM(INDIRECT(ADDRESS(expenses_min_row,COLUMN())&amp; ":"&amp; ADDRESS(expenses_max_row,COLUMN())))</f>
        <v>0</v>
      </c>
      <c r="EP37" s="23">
        <f t="shared" ca="1" si="96"/>
        <v>0</v>
      </c>
      <c r="EQ37" s="23">
        <f t="shared" ca="1" si="96"/>
        <v>0</v>
      </c>
      <c r="ER37" s="23">
        <f t="shared" ca="1" si="96"/>
        <v>0</v>
      </c>
      <c r="ES37" s="23">
        <f t="shared" ca="1" si="96"/>
        <v>0</v>
      </c>
      <c r="ET37" s="23">
        <f t="shared" ca="1" si="96"/>
        <v>0</v>
      </c>
      <c r="EU37" s="23">
        <f t="shared" ca="1" si="96"/>
        <v>0</v>
      </c>
      <c r="EV37" s="23">
        <f t="shared" ca="1" si="96"/>
        <v>0</v>
      </c>
      <c r="EW37" s="23">
        <f t="shared" ca="1" si="96"/>
        <v>0</v>
      </c>
      <c r="EX37" s="23">
        <f t="shared" ca="1" si="96"/>
        <v>0</v>
      </c>
      <c r="EY37" s="23">
        <f t="shared" ca="1" si="96"/>
        <v>0</v>
      </c>
      <c r="EZ37" s="23">
        <f t="shared" ca="1" si="96"/>
        <v>0</v>
      </c>
      <c r="FA37" s="23">
        <f t="shared" ca="1" si="96"/>
        <v>0</v>
      </c>
    </row>
    <row r="38" spans="3:157" x14ac:dyDescent="0.25">
      <c r="C38" s="21"/>
    </row>
    <row r="40" spans="3:157" x14ac:dyDescent="0.25">
      <c r="C40" s="17" t="s">
        <v>22</v>
      </c>
      <c r="E40" s="26">
        <f>DATE(E$5,1,1)</f>
        <v>44562</v>
      </c>
      <c r="F40" s="26">
        <f>DATE(E$5,2,1)</f>
        <v>44593</v>
      </c>
      <c r="G40" s="26">
        <f>DATE(E$5,3,1)</f>
        <v>44621</v>
      </c>
      <c r="H40" s="26">
        <f>DATE(E$5,4,1)</f>
        <v>44652</v>
      </c>
      <c r="I40" s="26">
        <f>DATE(E$5,5,1)</f>
        <v>44682</v>
      </c>
      <c r="J40" s="26">
        <f>DATE(E$5,6,1)</f>
        <v>44713</v>
      </c>
      <c r="K40" s="26">
        <f>DATE(E$5,7,1)</f>
        <v>44743</v>
      </c>
      <c r="L40" s="26">
        <f>DATE(E$5,8,1)</f>
        <v>44774</v>
      </c>
      <c r="M40" s="26">
        <f>DATE(E$5,9,1)</f>
        <v>44805</v>
      </c>
      <c r="N40" s="26">
        <f>DATE(E$5,10,1)</f>
        <v>44835</v>
      </c>
      <c r="O40" s="26">
        <f>DATE(E$5,11,1)</f>
        <v>44866</v>
      </c>
      <c r="P40" s="26">
        <f>DATE(E$5,12,1)</f>
        <v>44896</v>
      </c>
      <c r="Q40" s="27">
        <f>E$5</f>
        <v>2022</v>
      </c>
      <c r="S40" s="26">
        <f>DATE(S$5,1,1)</f>
        <v>44927</v>
      </c>
      <c r="T40" s="26">
        <f>DATE(S$5,2,1)</f>
        <v>44958</v>
      </c>
      <c r="U40" s="26">
        <f>DATE(S$5,3,1)</f>
        <v>44986</v>
      </c>
      <c r="V40" s="26">
        <f>DATE(S$5,4,1)</f>
        <v>45017</v>
      </c>
      <c r="W40" s="26">
        <f>DATE(S$5,5,1)</f>
        <v>45047</v>
      </c>
      <c r="X40" s="26">
        <f>DATE(S$5,6,1)</f>
        <v>45078</v>
      </c>
      <c r="Y40" s="26">
        <f>DATE(S$5,7,1)</f>
        <v>45108</v>
      </c>
      <c r="Z40" s="26">
        <f>DATE(S$5,8,1)</f>
        <v>45139</v>
      </c>
      <c r="AA40" s="26">
        <f>DATE(S$5,9,1)</f>
        <v>45170</v>
      </c>
      <c r="AB40" s="26">
        <f>DATE(S$5,10,1)</f>
        <v>45200</v>
      </c>
      <c r="AC40" s="26">
        <f>DATE(S$5,11,1)</f>
        <v>45231</v>
      </c>
      <c r="AD40" s="26">
        <f>DATE(S$5,12,1)</f>
        <v>45261</v>
      </c>
      <c r="AE40" s="27">
        <f>S$5</f>
        <v>2023</v>
      </c>
      <c r="AG40" s="26">
        <f>DATE(AG$5,1,1)</f>
        <v>45292</v>
      </c>
      <c r="AH40" s="26">
        <f>DATE(AG$5,2,1)</f>
        <v>45323</v>
      </c>
      <c r="AI40" s="26">
        <f>DATE(AG$5,3,1)</f>
        <v>45352</v>
      </c>
      <c r="AJ40" s="26">
        <f>DATE(AG$5,4,1)</f>
        <v>45383</v>
      </c>
      <c r="AK40" s="26">
        <f>DATE(AG$5,5,1)</f>
        <v>45413</v>
      </c>
      <c r="AL40" s="26">
        <f>DATE(AG$5,6,1)</f>
        <v>45444</v>
      </c>
      <c r="AM40" s="26">
        <f>DATE(AG$5,7,1)</f>
        <v>45474</v>
      </c>
      <c r="AN40" s="26">
        <f>DATE(AG$5,8,1)</f>
        <v>45505</v>
      </c>
      <c r="AO40" s="26">
        <f>DATE(AG$5,9,1)</f>
        <v>45536</v>
      </c>
      <c r="AP40" s="26">
        <f>DATE(AG$5,10,1)</f>
        <v>45566</v>
      </c>
      <c r="AQ40" s="26">
        <f>DATE(AG$5,11,1)</f>
        <v>45597</v>
      </c>
      <c r="AR40" s="26">
        <f>DATE(AG$5,12,1)</f>
        <v>45627</v>
      </c>
      <c r="AS40" s="27">
        <f>AG$5</f>
        <v>2024</v>
      </c>
      <c r="AU40" s="26">
        <f>DATE(AU$5,1,1)</f>
        <v>45658</v>
      </c>
      <c r="AV40" s="26">
        <f>DATE(AU$5,2,1)</f>
        <v>45689</v>
      </c>
      <c r="AW40" s="26">
        <f>DATE(AU$5,3,1)</f>
        <v>45717</v>
      </c>
      <c r="AX40" s="26">
        <f>DATE(AU$5,4,1)</f>
        <v>45748</v>
      </c>
      <c r="AY40" s="26">
        <f>DATE(AU$5,5,1)</f>
        <v>45778</v>
      </c>
      <c r="AZ40" s="26">
        <f>DATE(AU$5,6,1)</f>
        <v>45809</v>
      </c>
      <c r="BA40" s="26">
        <f>DATE(AU$5,7,1)</f>
        <v>45839</v>
      </c>
      <c r="BB40" s="26">
        <f>DATE(AU$5,8,1)</f>
        <v>45870</v>
      </c>
      <c r="BC40" s="26">
        <f>DATE(AU$5,9,1)</f>
        <v>45901</v>
      </c>
      <c r="BD40" s="26">
        <f>DATE(AU$5,10,1)</f>
        <v>45931</v>
      </c>
      <c r="BE40" s="26">
        <f>DATE(AU$5,11,1)</f>
        <v>45962</v>
      </c>
      <c r="BF40" s="26">
        <f>DATE(AU$5,12,1)</f>
        <v>45992</v>
      </c>
      <c r="BG40" s="27">
        <f>AU$5</f>
        <v>2025</v>
      </c>
      <c r="BI40" s="26">
        <f>DATE(BI$5,1,1)</f>
        <v>46023</v>
      </c>
      <c r="BJ40" s="26">
        <f>DATE(BI$5,2,1)</f>
        <v>46054</v>
      </c>
      <c r="BK40" s="26">
        <f>DATE(BI$5,3,1)</f>
        <v>46082</v>
      </c>
      <c r="BL40" s="26">
        <f>DATE(BI$5,4,1)</f>
        <v>46113</v>
      </c>
      <c r="BM40" s="26">
        <f>DATE(BI$5,5,1)</f>
        <v>46143</v>
      </c>
      <c r="BN40" s="26">
        <f>DATE(BI$5,6,1)</f>
        <v>46174</v>
      </c>
      <c r="BO40" s="26">
        <f>DATE(BI$5,7,1)</f>
        <v>46204</v>
      </c>
      <c r="BP40" s="26">
        <f>DATE(BI$5,8,1)</f>
        <v>46235</v>
      </c>
      <c r="BQ40" s="26">
        <f>DATE(BI$5,9,1)</f>
        <v>46266</v>
      </c>
      <c r="BR40" s="26">
        <f>DATE(BI$5,10,1)</f>
        <v>46296</v>
      </c>
      <c r="BS40" s="26">
        <f>DATE(BI$5,11,1)</f>
        <v>46327</v>
      </c>
      <c r="BT40" s="26">
        <f>DATE(BI$5,12,1)</f>
        <v>46357</v>
      </c>
      <c r="BU40" s="27">
        <f>BI$5</f>
        <v>2026</v>
      </c>
      <c r="BW40" s="26">
        <f>DATE(BW$5,1,1)</f>
        <v>46388</v>
      </c>
      <c r="BX40" s="26">
        <f>DATE(BW$5,2,1)</f>
        <v>46419</v>
      </c>
      <c r="BY40" s="26">
        <f>DATE(BW$5,3,1)</f>
        <v>46447</v>
      </c>
      <c r="BZ40" s="26">
        <f>DATE(BW$5,4,1)</f>
        <v>46478</v>
      </c>
      <c r="CA40" s="26">
        <f>DATE(BW$5,5,1)</f>
        <v>46508</v>
      </c>
      <c r="CB40" s="26">
        <f>DATE(BW$5,6,1)</f>
        <v>46539</v>
      </c>
      <c r="CC40" s="26">
        <f>DATE(BW$5,7,1)</f>
        <v>46569</v>
      </c>
      <c r="CD40" s="26">
        <f>DATE(BW$5,8,1)</f>
        <v>46600</v>
      </c>
      <c r="CE40" s="26">
        <f>DATE(BW$5,9,1)</f>
        <v>46631</v>
      </c>
      <c r="CF40" s="26">
        <f>DATE(BW$5,10,1)</f>
        <v>46661</v>
      </c>
      <c r="CG40" s="26">
        <f>DATE(BW$5,11,1)</f>
        <v>46692</v>
      </c>
      <c r="CH40" s="26">
        <f>DATE(BW$5,12,1)</f>
        <v>46722</v>
      </c>
      <c r="CI40" s="27">
        <f>BW$5</f>
        <v>2027</v>
      </c>
      <c r="CK40" s="26">
        <f>DATE(CK$5,1,1)</f>
        <v>46753</v>
      </c>
      <c r="CL40" s="26">
        <f>DATE(CK$5,2,1)</f>
        <v>46784</v>
      </c>
      <c r="CM40" s="26">
        <f>DATE(CK$5,3,1)</f>
        <v>46813</v>
      </c>
      <c r="CN40" s="26">
        <f>DATE(CK$5,4,1)</f>
        <v>46844</v>
      </c>
      <c r="CO40" s="26">
        <f>DATE(CK$5,5,1)</f>
        <v>46874</v>
      </c>
      <c r="CP40" s="26">
        <f>DATE(CK$5,6,1)</f>
        <v>46905</v>
      </c>
      <c r="CQ40" s="26">
        <f>DATE(CK$5,7,1)</f>
        <v>46935</v>
      </c>
      <c r="CR40" s="26">
        <f>DATE(CK$5,8,1)</f>
        <v>46966</v>
      </c>
      <c r="CS40" s="26">
        <f>DATE(CK$5,9,1)</f>
        <v>46997</v>
      </c>
      <c r="CT40" s="26">
        <f>DATE(CK$5,10,1)</f>
        <v>47027</v>
      </c>
      <c r="CU40" s="26">
        <f>DATE(CK$5,11,1)</f>
        <v>47058</v>
      </c>
      <c r="CV40" s="26">
        <f>DATE(CK$5,12,1)</f>
        <v>47088</v>
      </c>
      <c r="CW40" s="27">
        <f>CK$5</f>
        <v>2028</v>
      </c>
      <c r="CY40" s="26">
        <f>DATE(CY$5,1,1)</f>
        <v>47119</v>
      </c>
      <c r="CZ40" s="26">
        <f>DATE(CY$5,2,1)</f>
        <v>47150</v>
      </c>
      <c r="DA40" s="26">
        <f>DATE(CY$5,3,1)</f>
        <v>47178</v>
      </c>
      <c r="DB40" s="26">
        <f>DATE(CY$5,4,1)</f>
        <v>47209</v>
      </c>
      <c r="DC40" s="26">
        <f>DATE(CY$5,5,1)</f>
        <v>47239</v>
      </c>
      <c r="DD40" s="26">
        <f>DATE(CY$5,6,1)</f>
        <v>47270</v>
      </c>
      <c r="DE40" s="26">
        <f>DATE(CY$5,7,1)</f>
        <v>47300</v>
      </c>
      <c r="DF40" s="26">
        <f>DATE(CY$5,8,1)</f>
        <v>47331</v>
      </c>
      <c r="DG40" s="26">
        <f>DATE(CY$5,9,1)</f>
        <v>47362</v>
      </c>
      <c r="DH40" s="26">
        <f>DATE(CY$5,10,1)</f>
        <v>47392</v>
      </c>
      <c r="DI40" s="26">
        <f>DATE(CY$5,11,1)</f>
        <v>47423</v>
      </c>
      <c r="DJ40" s="26">
        <f>DATE(CY$5,12,1)</f>
        <v>47453</v>
      </c>
      <c r="DK40" s="27">
        <f>CY$5</f>
        <v>2029</v>
      </c>
      <c r="DM40" s="26">
        <f>DATE(DM$5,1,1)</f>
        <v>47484</v>
      </c>
      <c r="DN40" s="26">
        <f>DATE(DM$5,2,1)</f>
        <v>47515</v>
      </c>
      <c r="DO40" s="26">
        <f>DATE(DM$5,3,1)</f>
        <v>47543</v>
      </c>
      <c r="DP40" s="26">
        <f>DATE(DM$5,4,1)</f>
        <v>47574</v>
      </c>
      <c r="DQ40" s="26">
        <f>DATE(DM$5,5,1)</f>
        <v>47604</v>
      </c>
      <c r="DR40" s="26">
        <f>DATE(DM$5,6,1)</f>
        <v>47635</v>
      </c>
      <c r="DS40" s="26">
        <f>DATE(DM$5,7,1)</f>
        <v>47665</v>
      </c>
      <c r="DT40" s="26">
        <f>DATE(DM$5,8,1)</f>
        <v>47696</v>
      </c>
      <c r="DU40" s="26">
        <f>DATE(DM$5,9,1)</f>
        <v>47727</v>
      </c>
      <c r="DV40" s="26">
        <f>DATE(DM$5,10,1)</f>
        <v>47757</v>
      </c>
      <c r="DW40" s="26">
        <f>DATE(DM$5,11,1)</f>
        <v>47788</v>
      </c>
      <c r="DX40" s="26">
        <f>DATE(DM$5,12,1)</f>
        <v>47818</v>
      </c>
      <c r="DY40" s="27">
        <f>DM$5</f>
        <v>2030</v>
      </c>
      <c r="EA40" s="26">
        <f>DATE(EA$5,1,1)</f>
        <v>47849</v>
      </c>
      <c r="EB40" s="26">
        <f>DATE(EA$5,2,1)</f>
        <v>47880</v>
      </c>
      <c r="EC40" s="26">
        <f>DATE(EA$5,3,1)</f>
        <v>47908</v>
      </c>
      <c r="ED40" s="26">
        <f>DATE(EA$5,4,1)</f>
        <v>47939</v>
      </c>
      <c r="EE40" s="26">
        <f>DATE(EA$5,5,1)</f>
        <v>47969</v>
      </c>
      <c r="EF40" s="26">
        <f>DATE(EA$5,6,1)</f>
        <v>48000</v>
      </c>
      <c r="EG40" s="26">
        <f>DATE(EA$5,7,1)</f>
        <v>48030</v>
      </c>
      <c r="EH40" s="26">
        <f>DATE(EA$5,8,1)</f>
        <v>48061</v>
      </c>
      <c r="EI40" s="26">
        <f>DATE(EA$5,9,1)</f>
        <v>48092</v>
      </c>
      <c r="EJ40" s="26">
        <f>DATE(EA$5,10,1)</f>
        <v>48122</v>
      </c>
      <c r="EK40" s="26">
        <f>DATE(EA$5,11,1)</f>
        <v>48153</v>
      </c>
      <c r="EL40" s="26">
        <f>DATE(EA$5,12,1)</f>
        <v>48183</v>
      </c>
      <c r="EM40" s="27">
        <f>EA$5</f>
        <v>2031</v>
      </c>
      <c r="EO40" s="26">
        <f>DATE(EO$5,1,1)</f>
        <v>48214</v>
      </c>
      <c r="EP40" s="26">
        <f>DATE(EO$5,2,1)</f>
        <v>48245</v>
      </c>
      <c r="EQ40" s="26">
        <f>DATE(EO$5,3,1)</f>
        <v>48274</v>
      </c>
      <c r="ER40" s="26">
        <f>DATE(EO$5,4,1)</f>
        <v>48305</v>
      </c>
      <c r="ES40" s="26">
        <f>DATE(EO$5,5,1)</f>
        <v>48335</v>
      </c>
      <c r="ET40" s="26">
        <f>DATE(EO$5,6,1)</f>
        <v>48366</v>
      </c>
      <c r="EU40" s="26">
        <f>DATE(EO$5,7,1)</f>
        <v>48396</v>
      </c>
      <c r="EV40" s="26">
        <f>DATE(EO$5,8,1)</f>
        <v>48427</v>
      </c>
      <c r="EW40" s="26">
        <f>DATE(EO$5,9,1)</f>
        <v>48458</v>
      </c>
      <c r="EX40" s="26">
        <f>DATE(EO$5,10,1)</f>
        <v>48488</v>
      </c>
      <c r="EY40" s="26">
        <f>DATE(EO$5,11,1)</f>
        <v>48519</v>
      </c>
      <c r="EZ40" s="26">
        <f>DATE(EO$5,12,1)</f>
        <v>48549</v>
      </c>
      <c r="FA40" s="27">
        <f>EO$5</f>
        <v>2032</v>
      </c>
    </row>
    <row r="41" spans="3:157" x14ac:dyDescent="0.25">
      <c r="C41" s="22" t="s">
        <v>23</v>
      </c>
      <c r="E41" s="23">
        <v>1000</v>
      </c>
      <c r="F41" s="23">
        <v>1000</v>
      </c>
      <c r="G41" s="23">
        <v>1000</v>
      </c>
      <c r="H41" s="23" t="s">
        <v>37</v>
      </c>
      <c r="I41" s="23" t="s">
        <v>37</v>
      </c>
      <c r="J41" s="23" t="s">
        <v>37</v>
      </c>
      <c r="K41" s="23" t="s">
        <v>37</v>
      </c>
      <c r="L41" s="23" t="s">
        <v>37</v>
      </c>
      <c r="M41" s="23" t="s">
        <v>37</v>
      </c>
      <c r="N41" s="23" t="s">
        <v>37</v>
      </c>
      <c r="O41" s="23" t="s">
        <v>37</v>
      </c>
      <c r="P41" s="23" t="s">
        <v>37</v>
      </c>
      <c r="Q41" s="34">
        <f>SUM(E41:P41)</f>
        <v>3000</v>
      </c>
      <c r="S41" s="23"/>
      <c r="T41" s="23"/>
      <c r="U41" s="23"/>
      <c r="V41" s="23"/>
      <c r="W41" s="23"/>
      <c r="X41" s="23"/>
      <c r="Y41" s="23"/>
      <c r="Z41" s="23"/>
      <c r="AA41" s="23"/>
      <c r="AB41" s="23"/>
      <c r="AC41" s="23"/>
      <c r="AD41" s="23"/>
      <c r="AE41" s="34">
        <f>SUM(S41:AD41)</f>
        <v>0</v>
      </c>
      <c r="AG41" s="23"/>
      <c r="AH41" s="23"/>
      <c r="AI41" s="23"/>
      <c r="AJ41" s="23"/>
      <c r="AK41" s="23"/>
      <c r="AL41" s="23"/>
      <c r="AM41" s="23"/>
      <c r="AN41" s="23"/>
      <c r="AO41" s="23"/>
      <c r="AP41" s="23"/>
      <c r="AQ41" s="23"/>
      <c r="AR41" s="23"/>
      <c r="AS41" s="34">
        <f>SUM(AG41:AR41)</f>
        <v>0</v>
      </c>
      <c r="AU41" s="23"/>
      <c r="AV41" s="23"/>
      <c r="AW41" s="23"/>
      <c r="AX41" s="23"/>
      <c r="AY41" s="23"/>
      <c r="AZ41" s="23"/>
      <c r="BA41" s="23"/>
      <c r="BB41" s="23"/>
      <c r="BC41" s="23"/>
      <c r="BD41" s="23"/>
      <c r="BE41" s="23"/>
      <c r="BF41" s="23"/>
      <c r="BG41" s="34">
        <f>SUM(AU41:BF41)</f>
        <v>0</v>
      </c>
      <c r="BI41" s="23"/>
      <c r="BJ41" s="23"/>
      <c r="BK41" s="23"/>
      <c r="BL41" s="23"/>
      <c r="BM41" s="23"/>
      <c r="BN41" s="23"/>
      <c r="BO41" s="23"/>
      <c r="BP41" s="23"/>
      <c r="BQ41" s="23"/>
      <c r="BR41" s="23"/>
      <c r="BS41" s="23"/>
      <c r="BT41" s="23"/>
      <c r="BU41" s="34">
        <f>SUM(BI41:BT41)</f>
        <v>0</v>
      </c>
      <c r="BW41" s="23"/>
      <c r="BX41" s="23"/>
      <c r="BY41" s="23"/>
      <c r="BZ41" s="23"/>
      <c r="CA41" s="23"/>
      <c r="CB41" s="23"/>
      <c r="CC41" s="23"/>
      <c r="CD41" s="23"/>
      <c r="CE41" s="23"/>
      <c r="CF41" s="23"/>
      <c r="CG41" s="23"/>
      <c r="CH41" s="23"/>
      <c r="CI41" s="34">
        <f>SUM(BW41:CH41)</f>
        <v>0</v>
      </c>
      <c r="CK41" s="23"/>
      <c r="CL41" s="23"/>
      <c r="CM41" s="23"/>
      <c r="CN41" s="23"/>
      <c r="CO41" s="23"/>
      <c r="CP41" s="23"/>
      <c r="CQ41" s="23"/>
      <c r="CR41" s="23"/>
      <c r="CS41" s="23"/>
      <c r="CT41" s="23"/>
      <c r="CU41" s="23"/>
      <c r="CV41" s="23"/>
      <c r="CW41" s="34">
        <f>SUM(CK41:CV41)</f>
        <v>0</v>
      </c>
      <c r="CY41" s="23"/>
      <c r="CZ41" s="23"/>
      <c r="DA41" s="23"/>
      <c r="DB41" s="23"/>
      <c r="DC41" s="23"/>
      <c r="DD41" s="23"/>
      <c r="DE41" s="23"/>
      <c r="DF41" s="23"/>
      <c r="DG41" s="23"/>
      <c r="DH41" s="23"/>
      <c r="DI41" s="23"/>
      <c r="DJ41" s="23"/>
      <c r="DK41" s="34">
        <f>SUM(CY41:DJ41)</f>
        <v>0</v>
      </c>
      <c r="DM41" s="23"/>
      <c r="DN41" s="23"/>
      <c r="DO41" s="23"/>
      <c r="DP41" s="23"/>
      <c r="DQ41" s="23"/>
      <c r="DR41" s="23"/>
      <c r="DS41" s="23"/>
      <c r="DT41" s="23"/>
      <c r="DU41" s="23"/>
      <c r="DV41" s="23"/>
      <c r="DW41" s="23"/>
      <c r="DX41" s="23"/>
      <c r="DY41" s="34">
        <f>SUM(DM41:DX41)</f>
        <v>0</v>
      </c>
      <c r="EA41" s="23"/>
      <c r="EB41" s="23"/>
      <c r="EC41" s="23"/>
      <c r="ED41" s="23"/>
      <c r="EE41" s="23"/>
      <c r="EF41" s="23"/>
      <c r="EG41" s="23"/>
      <c r="EH41" s="23"/>
      <c r="EI41" s="23"/>
      <c r="EJ41" s="23"/>
      <c r="EK41" s="23"/>
      <c r="EL41" s="23"/>
      <c r="EM41" s="34">
        <f>SUM(EA41:EL41)</f>
        <v>0</v>
      </c>
      <c r="EO41" s="23"/>
      <c r="EP41" s="23"/>
      <c r="EQ41" s="23"/>
      <c r="ER41" s="23"/>
      <c r="ES41" s="23"/>
      <c r="ET41" s="23"/>
      <c r="EU41" s="23"/>
      <c r="EV41" s="23"/>
      <c r="EW41" s="23"/>
      <c r="EX41" s="23"/>
      <c r="EY41" s="23"/>
      <c r="EZ41" s="23"/>
      <c r="FA41" s="34">
        <f>SUM(EO41:EZ41)</f>
        <v>0</v>
      </c>
    </row>
    <row r="42" spans="3:157" x14ac:dyDescent="0.25">
      <c r="C42" s="22" t="s">
        <v>24</v>
      </c>
      <c r="E42" s="23">
        <v>400</v>
      </c>
      <c r="F42" s="23">
        <v>400</v>
      </c>
      <c r="G42" s="23">
        <v>400</v>
      </c>
      <c r="H42" s="23">
        <v>400</v>
      </c>
      <c r="I42" s="23">
        <v>400</v>
      </c>
      <c r="J42" s="23">
        <v>400</v>
      </c>
      <c r="K42" s="23">
        <v>400</v>
      </c>
      <c r="L42" s="23">
        <v>400</v>
      </c>
      <c r="M42" s="23">
        <v>400</v>
      </c>
      <c r="N42" s="23">
        <v>400</v>
      </c>
      <c r="O42" s="23">
        <v>400</v>
      </c>
      <c r="P42" s="23">
        <v>400</v>
      </c>
      <c r="Q42" s="34">
        <f t="shared" ref="Q42:Q51" si="97">SUM(E42:P42)</f>
        <v>4800</v>
      </c>
      <c r="S42" s="23"/>
      <c r="T42" s="23"/>
      <c r="U42" s="23"/>
      <c r="V42" s="23"/>
      <c r="W42" s="23"/>
      <c r="X42" s="23"/>
      <c r="Y42" s="23"/>
      <c r="Z42" s="23"/>
      <c r="AA42" s="23"/>
      <c r="AB42" s="23"/>
      <c r="AC42" s="23"/>
      <c r="AD42" s="23"/>
      <c r="AE42" s="23">
        <f t="shared" ref="AE42" si="98">SUM(S42:AD42)</f>
        <v>0</v>
      </c>
      <c r="AG42" s="23"/>
      <c r="AH42" s="23"/>
      <c r="AI42" s="23"/>
      <c r="AJ42" s="23"/>
      <c r="AK42" s="23"/>
      <c r="AL42" s="23"/>
      <c r="AM42" s="23"/>
      <c r="AN42" s="23"/>
      <c r="AO42" s="23"/>
      <c r="AP42" s="23"/>
      <c r="AQ42" s="23"/>
      <c r="AR42" s="23"/>
      <c r="AS42" s="23">
        <f t="shared" ref="AS42" si="99">SUM(AG42:AR42)</f>
        <v>0</v>
      </c>
      <c r="AU42" s="23"/>
      <c r="AV42" s="23"/>
      <c r="AW42" s="23"/>
      <c r="AX42" s="23"/>
      <c r="AY42" s="23"/>
      <c r="AZ42" s="23"/>
      <c r="BA42" s="23"/>
      <c r="BB42" s="23"/>
      <c r="BC42" s="23"/>
      <c r="BD42" s="23"/>
      <c r="BE42" s="23"/>
      <c r="BF42" s="23"/>
      <c r="BG42" s="23">
        <f t="shared" ref="BG42" si="100">SUM(AU42:BF42)</f>
        <v>0</v>
      </c>
      <c r="BI42" s="23"/>
      <c r="BJ42" s="23"/>
      <c r="BK42" s="23"/>
      <c r="BL42" s="23"/>
      <c r="BM42" s="23"/>
      <c r="BN42" s="23"/>
      <c r="BO42" s="23"/>
      <c r="BP42" s="23"/>
      <c r="BQ42" s="23"/>
      <c r="BR42" s="23"/>
      <c r="BS42" s="23"/>
      <c r="BT42" s="23"/>
      <c r="BU42" s="23">
        <f t="shared" ref="BU42" si="101">SUM(BI42:BT42)</f>
        <v>0</v>
      </c>
      <c r="BW42" s="23"/>
      <c r="BX42" s="23"/>
      <c r="BY42" s="23"/>
      <c r="BZ42" s="23"/>
      <c r="CA42" s="23"/>
      <c r="CB42" s="23"/>
      <c r="CC42" s="23"/>
      <c r="CD42" s="23"/>
      <c r="CE42" s="23"/>
      <c r="CF42" s="23"/>
      <c r="CG42" s="23"/>
      <c r="CH42" s="23"/>
      <c r="CI42" s="23">
        <f t="shared" ref="CI42" si="102">SUM(BW42:CH42)</f>
        <v>0</v>
      </c>
      <c r="CK42" s="23"/>
      <c r="CL42" s="23"/>
      <c r="CM42" s="23"/>
      <c r="CN42" s="23"/>
      <c r="CO42" s="23"/>
      <c r="CP42" s="23"/>
      <c r="CQ42" s="23"/>
      <c r="CR42" s="23"/>
      <c r="CS42" s="23"/>
      <c r="CT42" s="23"/>
      <c r="CU42" s="23"/>
      <c r="CV42" s="23"/>
      <c r="CW42" s="23">
        <f t="shared" ref="CW42" si="103">SUM(CK42:CV42)</f>
        <v>0</v>
      </c>
      <c r="CY42" s="23"/>
      <c r="CZ42" s="23"/>
      <c r="DA42" s="23"/>
      <c r="DB42" s="23"/>
      <c r="DC42" s="23"/>
      <c r="DD42" s="23"/>
      <c r="DE42" s="23"/>
      <c r="DF42" s="23"/>
      <c r="DG42" s="23"/>
      <c r="DH42" s="23"/>
      <c r="DI42" s="23"/>
      <c r="DJ42" s="23"/>
      <c r="DK42" s="23">
        <f t="shared" ref="DK42" si="104">SUM(CY42:DJ42)</f>
        <v>0</v>
      </c>
      <c r="DM42" s="23"/>
      <c r="DN42" s="23"/>
      <c r="DO42" s="23"/>
      <c r="DP42" s="23"/>
      <c r="DQ42" s="23"/>
      <c r="DR42" s="23"/>
      <c r="DS42" s="23"/>
      <c r="DT42" s="23"/>
      <c r="DU42" s="23"/>
      <c r="DV42" s="23"/>
      <c r="DW42" s="23"/>
      <c r="DX42" s="23"/>
      <c r="DY42" s="23">
        <f t="shared" ref="DY42" si="105">SUM(DM42:DX42)</f>
        <v>0</v>
      </c>
      <c r="EA42" s="23"/>
      <c r="EB42" s="23"/>
      <c r="EC42" s="23"/>
      <c r="ED42" s="23"/>
      <c r="EE42" s="23"/>
      <c r="EF42" s="23"/>
      <c r="EG42" s="23"/>
      <c r="EH42" s="23"/>
      <c r="EI42" s="23"/>
      <c r="EJ42" s="23"/>
      <c r="EK42" s="23"/>
      <c r="EL42" s="23"/>
      <c r="EM42" s="23">
        <f t="shared" ref="EM42" si="106">SUM(EA42:EL42)</f>
        <v>0</v>
      </c>
      <c r="EO42" s="23"/>
      <c r="EP42" s="23"/>
      <c r="EQ42" s="23"/>
      <c r="ER42" s="23"/>
      <c r="ES42" s="23"/>
      <c r="ET42" s="23"/>
      <c r="EU42" s="23"/>
      <c r="EV42" s="23"/>
      <c r="EW42" s="23"/>
      <c r="EX42" s="23"/>
      <c r="EY42" s="23"/>
      <c r="EZ42" s="23"/>
      <c r="FA42" s="23">
        <f t="shared" ref="FA42" si="107">SUM(EO42:EZ42)</f>
        <v>0</v>
      </c>
    </row>
    <row r="43" spans="3:157" x14ac:dyDescent="0.25">
      <c r="C43" s="22" t="s">
        <v>25</v>
      </c>
      <c r="E43" s="23">
        <v>150</v>
      </c>
      <c r="F43" s="23">
        <v>150</v>
      </c>
      <c r="G43" s="23">
        <v>150</v>
      </c>
      <c r="H43" s="23">
        <v>750</v>
      </c>
      <c r="I43" s="23">
        <v>750</v>
      </c>
      <c r="J43" s="23">
        <v>750</v>
      </c>
      <c r="K43" s="23">
        <v>750</v>
      </c>
      <c r="L43" s="23">
        <v>750</v>
      </c>
      <c r="M43" s="23">
        <v>750</v>
      </c>
      <c r="N43" s="23">
        <v>750</v>
      </c>
      <c r="O43" s="23">
        <v>750</v>
      </c>
      <c r="P43" s="23">
        <v>750</v>
      </c>
      <c r="Q43" s="34">
        <f t="shared" si="97"/>
        <v>7200</v>
      </c>
      <c r="S43" s="23"/>
      <c r="T43" s="23"/>
      <c r="U43" s="23"/>
      <c r="V43" s="23"/>
      <c r="W43" s="23"/>
      <c r="X43" s="23"/>
      <c r="Y43" s="23"/>
      <c r="Z43" s="23"/>
      <c r="AA43" s="23"/>
      <c r="AB43" s="23"/>
      <c r="AC43" s="23"/>
      <c r="AD43" s="23"/>
      <c r="AE43" s="23">
        <f>SUM(S43:AD43)</f>
        <v>0</v>
      </c>
      <c r="AG43" s="23"/>
      <c r="AH43" s="23"/>
      <c r="AI43" s="23"/>
      <c r="AJ43" s="23"/>
      <c r="AK43" s="23"/>
      <c r="AL43" s="23"/>
      <c r="AM43" s="23"/>
      <c r="AN43" s="23"/>
      <c r="AO43" s="23"/>
      <c r="AP43" s="23"/>
      <c r="AQ43" s="23"/>
      <c r="AR43" s="23"/>
      <c r="AS43" s="23">
        <f>SUM(AG43:AR43)</f>
        <v>0</v>
      </c>
      <c r="AU43" s="23"/>
      <c r="AV43" s="23"/>
      <c r="AW43" s="23"/>
      <c r="AX43" s="23"/>
      <c r="AY43" s="23"/>
      <c r="AZ43" s="23"/>
      <c r="BA43" s="23"/>
      <c r="BB43" s="23"/>
      <c r="BC43" s="23"/>
      <c r="BD43" s="23"/>
      <c r="BE43" s="23"/>
      <c r="BF43" s="23"/>
      <c r="BG43" s="23">
        <f>SUM(AU43:BF43)</f>
        <v>0</v>
      </c>
      <c r="BI43" s="23"/>
      <c r="BJ43" s="23"/>
      <c r="BK43" s="23"/>
      <c r="BL43" s="23"/>
      <c r="BM43" s="23"/>
      <c r="BN43" s="23"/>
      <c r="BO43" s="23"/>
      <c r="BP43" s="23"/>
      <c r="BQ43" s="23"/>
      <c r="BR43" s="23"/>
      <c r="BS43" s="23"/>
      <c r="BT43" s="23"/>
      <c r="BU43" s="23">
        <f>SUM(BI43:BT43)</f>
        <v>0</v>
      </c>
      <c r="BW43" s="23"/>
      <c r="BX43" s="23"/>
      <c r="BY43" s="23"/>
      <c r="BZ43" s="23"/>
      <c r="CA43" s="23"/>
      <c r="CB43" s="23"/>
      <c r="CC43" s="23"/>
      <c r="CD43" s="23"/>
      <c r="CE43" s="23"/>
      <c r="CF43" s="23"/>
      <c r="CG43" s="23"/>
      <c r="CH43" s="23"/>
      <c r="CI43" s="23">
        <f>SUM(BW43:CH43)</f>
        <v>0</v>
      </c>
      <c r="CK43" s="23"/>
      <c r="CL43" s="23"/>
      <c r="CM43" s="23"/>
      <c r="CN43" s="23"/>
      <c r="CO43" s="23"/>
      <c r="CP43" s="23"/>
      <c r="CQ43" s="23"/>
      <c r="CR43" s="23"/>
      <c r="CS43" s="23"/>
      <c r="CT43" s="23"/>
      <c r="CU43" s="23"/>
      <c r="CV43" s="23"/>
      <c r="CW43" s="23">
        <f>SUM(CK43:CV43)</f>
        <v>0</v>
      </c>
      <c r="CY43" s="23"/>
      <c r="CZ43" s="23"/>
      <c r="DA43" s="23"/>
      <c r="DB43" s="23"/>
      <c r="DC43" s="23"/>
      <c r="DD43" s="23"/>
      <c r="DE43" s="23"/>
      <c r="DF43" s="23"/>
      <c r="DG43" s="23"/>
      <c r="DH43" s="23"/>
      <c r="DI43" s="23"/>
      <c r="DJ43" s="23"/>
      <c r="DK43" s="23">
        <f>SUM(CY43:DJ43)</f>
        <v>0</v>
      </c>
      <c r="DM43" s="23"/>
      <c r="DN43" s="23"/>
      <c r="DO43" s="23"/>
      <c r="DP43" s="23"/>
      <c r="DQ43" s="23"/>
      <c r="DR43" s="23"/>
      <c r="DS43" s="23"/>
      <c r="DT43" s="23"/>
      <c r="DU43" s="23"/>
      <c r="DV43" s="23"/>
      <c r="DW43" s="23"/>
      <c r="DX43" s="23"/>
      <c r="DY43" s="23">
        <f>SUM(DM43:DX43)</f>
        <v>0</v>
      </c>
      <c r="EA43" s="23"/>
      <c r="EB43" s="23"/>
      <c r="EC43" s="23"/>
      <c r="ED43" s="23"/>
      <c r="EE43" s="23"/>
      <c r="EF43" s="23"/>
      <c r="EG43" s="23"/>
      <c r="EH43" s="23"/>
      <c r="EI43" s="23"/>
      <c r="EJ43" s="23"/>
      <c r="EK43" s="23"/>
      <c r="EL43" s="23"/>
      <c r="EM43" s="23">
        <f>SUM(EA43:EL43)</f>
        <v>0</v>
      </c>
      <c r="EO43" s="23"/>
      <c r="EP43" s="23"/>
      <c r="EQ43" s="23"/>
      <c r="ER43" s="23"/>
      <c r="ES43" s="23"/>
      <c r="ET43" s="23"/>
      <c r="EU43" s="23"/>
      <c r="EV43" s="23"/>
      <c r="EW43" s="23"/>
      <c r="EX43" s="23"/>
      <c r="EY43" s="23"/>
      <c r="EZ43" s="23"/>
      <c r="FA43" s="23">
        <f>SUM(EO43:EZ43)</f>
        <v>0</v>
      </c>
    </row>
    <row r="44" spans="3:157" x14ac:dyDescent="0.25">
      <c r="C44" s="22" t="s">
        <v>35</v>
      </c>
      <c r="E44" s="23">
        <v>0</v>
      </c>
      <c r="F44" s="23">
        <v>0</v>
      </c>
      <c r="G44" s="23">
        <v>0</v>
      </c>
      <c r="H44" s="23">
        <v>600</v>
      </c>
      <c r="I44" s="23">
        <v>1400</v>
      </c>
      <c r="J44" s="23">
        <v>1300</v>
      </c>
      <c r="K44" s="23">
        <v>1500</v>
      </c>
      <c r="L44" s="23">
        <v>200</v>
      </c>
      <c r="M44" s="23">
        <v>1300</v>
      </c>
      <c r="N44" s="23">
        <v>1500</v>
      </c>
      <c r="O44" s="23">
        <v>1400</v>
      </c>
      <c r="P44" s="23">
        <v>1000</v>
      </c>
      <c r="Q44" s="34">
        <f t="shared" si="97"/>
        <v>10200</v>
      </c>
      <c r="S44" s="23"/>
      <c r="T44" s="23"/>
      <c r="U44" s="23"/>
      <c r="V44" s="23"/>
      <c r="W44" s="23"/>
      <c r="X44" s="23"/>
      <c r="Y44" s="23"/>
      <c r="Z44" s="23"/>
      <c r="AA44" s="23"/>
      <c r="AB44" s="23"/>
      <c r="AC44" s="23"/>
      <c r="AD44" s="23"/>
      <c r="AE44" s="23">
        <f t="shared" ref="AE44:AE50" si="108">SUM(S44:AD44)</f>
        <v>0</v>
      </c>
      <c r="AG44" s="23"/>
      <c r="AH44" s="23"/>
      <c r="AI44" s="23"/>
      <c r="AJ44" s="23"/>
      <c r="AK44" s="23"/>
      <c r="AL44" s="23"/>
      <c r="AM44" s="23"/>
      <c r="AN44" s="23"/>
      <c r="AO44" s="23"/>
      <c r="AP44" s="23"/>
      <c r="AQ44" s="23"/>
      <c r="AR44" s="23"/>
      <c r="AS44" s="23">
        <f t="shared" ref="AS44:AS50" si="109">SUM(AG44:AR44)</f>
        <v>0</v>
      </c>
      <c r="AU44" s="23"/>
      <c r="AV44" s="23"/>
      <c r="AW44" s="23"/>
      <c r="AX44" s="23"/>
      <c r="AY44" s="23"/>
      <c r="AZ44" s="23"/>
      <c r="BA44" s="23"/>
      <c r="BB44" s="23"/>
      <c r="BC44" s="23"/>
      <c r="BD44" s="23"/>
      <c r="BE44" s="23"/>
      <c r="BF44" s="23"/>
      <c r="BG44" s="23">
        <f t="shared" ref="BG44:BG50" si="110">SUM(AU44:BF44)</f>
        <v>0</v>
      </c>
      <c r="BI44" s="23"/>
      <c r="BJ44" s="23"/>
      <c r="BK44" s="23"/>
      <c r="BL44" s="23"/>
      <c r="BM44" s="23"/>
      <c r="BN44" s="23"/>
      <c r="BO44" s="23"/>
      <c r="BP44" s="23"/>
      <c r="BQ44" s="23"/>
      <c r="BR44" s="23"/>
      <c r="BS44" s="23"/>
      <c r="BT44" s="23"/>
      <c r="BU44" s="23">
        <f t="shared" ref="BU44:BU50" si="111">SUM(BI44:BT44)</f>
        <v>0</v>
      </c>
      <c r="BW44" s="23"/>
      <c r="BX44" s="23"/>
      <c r="BY44" s="23"/>
      <c r="BZ44" s="23"/>
      <c r="CA44" s="23"/>
      <c r="CB44" s="23"/>
      <c r="CC44" s="23"/>
      <c r="CD44" s="23"/>
      <c r="CE44" s="23"/>
      <c r="CF44" s="23"/>
      <c r="CG44" s="23"/>
      <c r="CH44" s="23"/>
      <c r="CI44" s="23">
        <f t="shared" ref="CI44:CI50" si="112">SUM(BW44:CH44)</f>
        <v>0</v>
      </c>
      <c r="CK44" s="23"/>
      <c r="CL44" s="23"/>
      <c r="CM44" s="23"/>
      <c r="CN44" s="23"/>
      <c r="CO44" s="23"/>
      <c r="CP44" s="23"/>
      <c r="CQ44" s="23"/>
      <c r="CR44" s="23"/>
      <c r="CS44" s="23"/>
      <c r="CT44" s="23"/>
      <c r="CU44" s="23"/>
      <c r="CV44" s="23"/>
      <c r="CW44" s="23">
        <f t="shared" ref="CW44:CW50" si="113">SUM(CK44:CV44)</f>
        <v>0</v>
      </c>
      <c r="CY44" s="23"/>
      <c r="CZ44" s="23"/>
      <c r="DA44" s="23"/>
      <c r="DB44" s="23"/>
      <c r="DC44" s="23"/>
      <c r="DD44" s="23"/>
      <c r="DE44" s="23"/>
      <c r="DF44" s="23"/>
      <c r="DG44" s="23"/>
      <c r="DH44" s="23"/>
      <c r="DI44" s="23"/>
      <c r="DJ44" s="23"/>
      <c r="DK44" s="23">
        <f t="shared" ref="DK44:DK50" si="114">SUM(CY44:DJ44)</f>
        <v>0</v>
      </c>
      <c r="DM44" s="23"/>
      <c r="DN44" s="23"/>
      <c r="DO44" s="23"/>
      <c r="DP44" s="23"/>
      <c r="DQ44" s="23"/>
      <c r="DR44" s="23"/>
      <c r="DS44" s="23"/>
      <c r="DT44" s="23"/>
      <c r="DU44" s="23"/>
      <c r="DV44" s="23"/>
      <c r="DW44" s="23"/>
      <c r="DX44" s="23"/>
      <c r="DY44" s="23">
        <f t="shared" ref="DY44:DY50" si="115">SUM(DM44:DX44)</f>
        <v>0</v>
      </c>
      <c r="EA44" s="23"/>
      <c r="EB44" s="23"/>
      <c r="EC44" s="23"/>
      <c r="ED44" s="23"/>
      <c r="EE44" s="23"/>
      <c r="EF44" s="23"/>
      <c r="EG44" s="23"/>
      <c r="EH44" s="23"/>
      <c r="EI44" s="23"/>
      <c r="EJ44" s="23"/>
      <c r="EK44" s="23"/>
      <c r="EL44" s="23"/>
      <c r="EM44" s="23">
        <f t="shared" ref="EM44:EM50" si="116">SUM(EA44:EL44)</f>
        <v>0</v>
      </c>
      <c r="EO44" s="23"/>
      <c r="EP44" s="23"/>
      <c r="EQ44" s="23"/>
      <c r="ER44" s="23"/>
      <c r="ES44" s="23"/>
      <c r="ET44" s="23"/>
      <c r="EU44" s="23"/>
      <c r="EV44" s="23"/>
      <c r="EW44" s="23"/>
      <c r="EX44" s="23"/>
      <c r="EY44" s="23"/>
      <c r="EZ44" s="23"/>
      <c r="FA44" s="23">
        <f t="shared" ref="FA44:FA50" si="117">SUM(EO44:EZ44)</f>
        <v>0</v>
      </c>
    </row>
    <row r="45" spans="3:157" x14ac:dyDescent="0.25">
      <c r="C45" s="22" t="s">
        <v>36</v>
      </c>
      <c r="E45" s="23">
        <v>200</v>
      </c>
      <c r="F45" s="23">
        <v>100</v>
      </c>
      <c r="G45" s="23">
        <v>0</v>
      </c>
      <c r="H45" s="23">
        <v>100</v>
      </c>
      <c r="I45" s="23">
        <v>100</v>
      </c>
      <c r="J45" s="23">
        <v>100</v>
      </c>
      <c r="K45" s="23">
        <v>100</v>
      </c>
      <c r="L45" s="23">
        <v>100</v>
      </c>
      <c r="M45" s="23">
        <v>100</v>
      </c>
      <c r="N45" s="23">
        <v>100</v>
      </c>
      <c r="O45" s="23">
        <v>100</v>
      </c>
      <c r="P45" s="23">
        <v>100</v>
      </c>
      <c r="Q45" s="34">
        <f t="shared" si="97"/>
        <v>1200</v>
      </c>
      <c r="S45" s="23"/>
      <c r="T45" s="23"/>
      <c r="U45" s="23"/>
      <c r="V45" s="23"/>
      <c r="W45" s="23"/>
      <c r="X45" s="23"/>
      <c r="Y45" s="23"/>
      <c r="Z45" s="23"/>
      <c r="AA45" s="23"/>
      <c r="AB45" s="23"/>
      <c r="AC45" s="23"/>
      <c r="AD45" s="23"/>
      <c r="AE45" s="23">
        <f t="shared" si="108"/>
        <v>0</v>
      </c>
      <c r="AG45" s="23"/>
      <c r="AH45" s="23"/>
      <c r="AI45" s="23"/>
      <c r="AJ45" s="23"/>
      <c r="AK45" s="23"/>
      <c r="AL45" s="23"/>
      <c r="AM45" s="23"/>
      <c r="AN45" s="23"/>
      <c r="AO45" s="23"/>
      <c r="AP45" s="23"/>
      <c r="AQ45" s="23"/>
      <c r="AR45" s="23"/>
      <c r="AS45" s="23">
        <f t="shared" si="109"/>
        <v>0</v>
      </c>
      <c r="AU45" s="23"/>
      <c r="AV45" s="23"/>
      <c r="AW45" s="23"/>
      <c r="AX45" s="23"/>
      <c r="AY45" s="23"/>
      <c r="AZ45" s="23"/>
      <c r="BA45" s="23"/>
      <c r="BB45" s="23"/>
      <c r="BC45" s="23"/>
      <c r="BD45" s="23"/>
      <c r="BE45" s="23"/>
      <c r="BF45" s="23"/>
      <c r="BG45" s="23">
        <f t="shared" si="110"/>
        <v>0</v>
      </c>
      <c r="BI45" s="23"/>
      <c r="BJ45" s="23"/>
      <c r="BK45" s="23"/>
      <c r="BL45" s="23"/>
      <c r="BM45" s="23"/>
      <c r="BN45" s="23"/>
      <c r="BO45" s="23"/>
      <c r="BP45" s="23"/>
      <c r="BQ45" s="23"/>
      <c r="BR45" s="23"/>
      <c r="BS45" s="23"/>
      <c r="BT45" s="23"/>
      <c r="BU45" s="23">
        <f t="shared" si="111"/>
        <v>0</v>
      </c>
      <c r="BW45" s="23"/>
      <c r="BX45" s="23"/>
      <c r="BY45" s="23"/>
      <c r="BZ45" s="23"/>
      <c r="CA45" s="23"/>
      <c r="CB45" s="23"/>
      <c r="CC45" s="23"/>
      <c r="CD45" s="23"/>
      <c r="CE45" s="23"/>
      <c r="CF45" s="23"/>
      <c r="CG45" s="23"/>
      <c r="CH45" s="23"/>
      <c r="CI45" s="23">
        <f t="shared" si="112"/>
        <v>0</v>
      </c>
      <c r="CK45" s="23"/>
      <c r="CL45" s="23"/>
      <c r="CM45" s="23"/>
      <c r="CN45" s="23"/>
      <c r="CO45" s="23"/>
      <c r="CP45" s="23"/>
      <c r="CQ45" s="23"/>
      <c r="CR45" s="23"/>
      <c r="CS45" s="23"/>
      <c r="CT45" s="23"/>
      <c r="CU45" s="23"/>
      <c r="CV45" s="23"/>
      <c r="CW45" s="23">
        <f t="shared" si="113"/>
        <v>0</v>
      </c>
      <c r="CY45" s="23"/>
      <c r="CZ45" s="23"/>
      <c r="DA45" s="23"/>
      <c r="DB45" s="23"/>
      <c r="DC45" s="23"/>
      <c r="DD45" s="23"/>
      <c r="DE45" s="23"/>
      <c r="DF45" s="23"/>
      <c r="DG45" s="23"/>
      <c r="DH45" s="23"/>
      <c r="DI45" s="23"/>
      <c r="DJ45" s="23"/>
      <c r="DK45" s="23">
        <f t="shared" si="114"/>
        <v>0</v>
      </c>
      <c r="DM45" s="23"/>
      <c r="DN45" s="23"/>
      <c r="DO45" s="23"/>
      <c r="DP45" s="23"/>
      <c r="DQ45" s="23"/>
      <c r="DR45" s="23"/>
      <c r="DS45" s="23"/>
      <c r="DT45" s="23"/>
      <c r="DU45" s="23"/>
      <c r="DV45" s="23"/>
      <c r="DW45" s="23"/>
      <c r="DX45" s="23"/>
      <c r="DY45" s="23">
        <f t="shared" si="115"/>
        <v>0</v>
      </c>
      <c r="EA45" s="23"/>
      <c r="EB45" s="23"/>
      <c r="EC45" s="23"/>
      <c r="ED45" s="23"/>
      <c r="EE45" s="23"/>
      <c r="EF45" s="23"/>
      <c r="EG45" s="23"/>
      <c r="EH45" s="23"/>
      <c r="EI45" s="23"/>
      <c r="EJ45" s="23"/>
      <c r="EK45" s="23"/>
      <c r="EL45" s="23"/>
      <c r="EM45" s="23">
        <f t="shared" si="116"/>
        <v>0</v>
      </c>
      <c r="EO45" s="23"/>
      <c r="EP45" s="23"/>
      <c r="EQ45" s="23"/>
      <c r="ER45" s="23"/>
      <c r="ES45" s="23"/>
      <c r="ET45" s="23"/>
      <c r="EU45" s="23"/>
      <c r="EV45" s="23"/>
      <c r="EW45" s="23"/>
      <c r="EX45" s="23"/>
      <c r="EY45" s="23"/>
      <c r="EZ45" s="23"/>
      <c r="FA45" s="23">
        <f t="shared" si="117"/>
        <v>0</v>
      </c>
    </row>
    <row r="46" spans="3:157" hidden="1" x14ac:dyDescent="0.25">
      <c r="C46" s="22" t="s">
        <v>26</v>
      </c>
      <c r="E46" s="23"/>
      <c r="F46" s="23"/>
      <c r="G46" s="23"/>
      <c r="H46" s="23"/>
      <c r="I46" s="23"/>
      <c r="J46" s="23"/>
      <c r="K46" s="23"/>
      <c r="L46" s="23"/>
      <c r="M46" s="23"/>
      <c r="N46" s="23"/>
      <c r="O46" s="23"/>
      <c r="P46" s="23"/>
      <c r="Q46" s="34">
        <f t="shared" si="97"/>
        <v>0</v>
      </c>
      <c r="S46" s="23"/>
      <c r="T46" s="23"/>
      <c r="U46" s="23"/>
      <c r="V46" s="23"/>
      <c r="W46" s="23"/>
      <c r="X46" s="23"/>
      <c r="Y46" s="23"/>
      <c r="Z46" s="23"/>
      <c r="AA46" s="23"/>
      <c r="AB46" s="23"/>
      <c r="AC46" s="23"/>
      <c r="AD46" s="23"/>
      <c r="AE46" s="23">
        <f t="shared" si="108"/>
        <v>0</v>
      </c>
      <c r="AG46" s="23"/>
      <c r="AH46" s="23"/>
      <c r="AI46" s="23"/>
      <c r="AJ46" s="23"/>
      <c r="AK46" s="23"/>
      <c r="AL46" s="23"/>
      <c r="AM46" s="23"/>
      <c r="AN46" s="23"/>
      <c r="AO46" s="23"/>
      <c r="AP46" s="23"/>
      <c r="AQ46" s="23"/>
      <c r="AR46" s="23"/>
      <c r="AS46" s="23">
        <f t="shared" si="109"/>
        <v>0</v>
      </c>
      <c r="AU46" s="23"/>
      <c r="AV46" s="23"/>
      <c r="AW46" s="23"/>
      <c r="AX46" s="23"/>
      <c r="AY46" s="23"/>
      <c r="AZ46" s="23"/>
      <c r="BA46" s="23"/>
      <c r="BB46" s="23"/>
      <c r="BC46" s="23"/>
      <c r="BD46" s="23"/>
      <c r="BE46" s="23"/>
      <c r="BF46" s="23"/>
      <c r="BG46" s="23">
        <f t="shared" si="110"/>
        <v>0</v>
      </c>
      <c r="BI46" s="23"/>
      <c r="BJ46" s="23"/>
      <c r="BK46" s="23"/>
      <c r="BL46" s="23"/>
      <c r="BM46" s="23"/>
      <c r="BN46" s="23"/>
      <c r="BO46" s="23"/>
      <c r="BP46" s="23"/>
      <c r="BQ46" s="23"/>
      <c r="BR46" s="23"/>
      <c r="BS46" s="23"/>
      <c r="BT46" s="23"/>
      <c r="BU46" s="23">
        <f t="shared" si="111"/>
        <v>0</v>
      </c>
      <c r="BW46" s="23"/>
      <c r="BX46" s="23"/>
      <c r="BY46" s="23"/>
      <c r="BZ46" s="23"/>
      <c r="CA46" s="23"/>
      <c r="CB46" s="23"/>
      <c r="CC46" s="23"/>
      <c r="CD46" s="23"/>
      <c r="CE46" s="23"/>
      <c r="CF46" s="23"/>
      <c r="CG46" s="23"/>
      <c r="CH46" s="23"/>
      <c r="CI46" s="23">
        <f t="shared" si="112"/>
        <v>0</v>
      </c>
      <c r="CK46" s="23"/>
      <c r="CL46" s="23"/>
      <c r="CM46" s="23"/>
      <c r="CN46" s="23"/>
      <c r="CO46" s="23"/>
      <c r="CP46" s="23"/>
      <c r="CQ46" s="23"/>
      <c r="CR46" s="23"/>
      <c r="CS46" s="23"/>
      <c r="CT46" s="23"/>
      <c r="CU46" s="23"/>
      <c r="CV46" s="23"/>
      <c r="CW46" s="23">
        <f t="shared" si="113"/>
        <v>0</v>
      </c>
      <c r="CY46" s="23"/>
      <c r="CZ46" s="23"/>
      <c r="DA46" s="23"/>
      <c r="DB46" s="23"/>
      <c r="DC46" s="23"/>
      <c r="DD46" s="23"/>
      <c r="DE46" s="23"/>
      <c r="DF46" s="23"/>
      <c r="DG46" s="23"/>
      <c r="DH46" s="23"/>
      <c r="DI46" s="23"/>
      <c r="DJ46" s="23"/>
      <c r="DK46" s="23">
        <f t="shared" si="114"/>
        <v>0</v>
      </c>
      <c r="DM46" s="23"/>
      <c r="DN46" s="23"/>
      <c r="DO46" s="23"/>
      <c r="DP46" s="23"/>
      <c r="DQ46" s="23"/>
      <c r="DR46" s="23"/>
      <c r="DS46" s="23"/>
      <c r="DT46" s="23"/>
      <c r="DU46" s="23"/>
      <c r="DV46" s="23"/>
      <c r="DW46" s="23"/>
      <c r="DX46" s="23"/>
      <c r="DY46" s="23">
        <f t="shared" si="115"/>
        <v>0</v>
      </c>
      <c r="EA46" s="23"/>
      <c r="EB46" s="23"/>
      <c r="EC46" s="23"/>
      <c r="ED46" s="23"/>
      <c r="EE46" s="23"/>
      <c r="EF46" s="23"/>
      <c r="EG46" s="23"/>
      <c r="EH46" s="23"/>
      <c r="EI46" s="23"/>
      <c r="EJ46" s="23"/>
      <c r="EK46" s="23"/>
      <c r="EL46" s="23"/>
      <c r="EM46" s="23">
        <f t="shared" si="116"/>
        <v>0</v>
      </c>
      <c r="EO46" s="23"/>
      <c r="EP46" s="23"/>
      <c r="EQ46" s="23"/>
      <c r="ER46" s="23"/>
      <c r="ES46" s="23"/>
      <c r="ET46" s="23"/>
      <c r="EU46" s="23"/>
      <c r="EV46" s="23"/>
      <c r="EW46" s="23"/>
      <c r="EX46" s="23"/>
      <c r="EY46" s="23"/>
      <c r="EZ46" s="23"/>
      <c r="FA46" s="23">
        <f t="shared" si="117"/>
        <v>0</v>
      </c>
    </row>
    <row r="47" spans="3:157" hidden="1" x14ac:dyDescent="0.25">
      <c r="C47" s="22" t="s">
        <v>26</v>
      </c>
      <c r="E47" s="23"/>
      <c r="F47" s="23"/>
      <c r="G47" s="23"/>
      <c r="H47" s="23"/>
      <c r="I47" s="23"/>
      <c r="J47" s="23"/>
      <c r="K47" s="23"/>
      <c r="L47" s="23"/>
      <c r="M47" s="23"/>
      <c r="N47" s="23"/>
      <c r="O47" s="23"/>
      <c r="P47" s="23"/>
      <c r="Q47" s="34">
        <f t="shared" si="97"/>
        <v>0</v>
      </c>
      <c r="S47" s="23"/>
      <c r="T47" s="23"/>
      <c r="U47" s="23"/>
      <c r="V47" s="23"/>
      <c r="W47" s="23"/>
      <c r="X47" s="23"/>
      <c r="Y47" s="23"/>
      <c r="Z47" s="23"/>
      <c r="AA47" s="23"/>
      <c r="AB47" s="23"/>
      <c r="AC47" s="23"/>
      <c r="AD47" s="23"/>
      <c r="AE47" s="23">
        <f t="shared" si="108"/>
        <v>0</v>
      </c>
      <c r="AG47" s="23"/>
      <c r="AH47" s="23"/>
      <c r="AI47" s="23"/>
      <c r="AJ47" s="23"/>
      <c r="AK47" s="23"/>
      <c r="AL47" s="23"/>
      <c r="AM47" s="23"/>
      <c r="AN47" s="23"/>
      <c r="AO47" s="23"/>
      <c r="AP47" s="23"/>
      <c r="AQ47" s="23"/>
      <c r="AR47" s="23"/>
      <c r="AS47" s="23">
        <f t="shared" si="109"/>
        <v>0</v>
      </c>
      <c r="AU47" s="23"/>
      <c r="AV47" s="23"/>
      <c r="AW47" s="23"/>
      <c r="AX47" s="23"/>
      <c r="AY47" s="23"/>
      <c r="AZ47" s="23"/>
      <c r="BA47" s="23"/>
      <c r="BB47" s="23"/>
      <c r="BC47" s="23"/>
      <c r="BD47" s="23"/>
      <c r="BE47" s="23"/>
      <c r="BF47" s="23"/>
      <c r="BG47" s="23">
        <f t="shared" si="110"/>
        <v>0</v>
      </c>
      <c r="BI47" s="23"/>
      <c r="BJ47" s="23"/>
      <c r="BK47" s="23"/>
      <c r="BL47" s="23"/>
      <c r="BM47" s="23"/>
      <c r="BN47" s="23"/>
      <c r="BO47" s="23"/>
      <c r="BP47" s="23"/>
      <c r="BQ47" s="23"/>
      <c r="BR47" s="23"/>
      <c r="BS47" s="23"/>
      <c r="BT47" s="23"/>
      <c r="BU47" s="23">
        <f t="shared" si="111"/>
        <v>0</v>
      </c>
      <c r="BW47" s="23"/>
      <c r="BX47" s="23"/>
      <c r="BY47" s="23"/>
      <c r="BZ47" s="23"/>
      <c r="CA47" s="23"/>
      <c r="CB47" s="23"/>
      <c r="CC47" s="23"/>
      <c r="CD47" s="23"/>
      <c r="CE47" s="23"/>
      <c r="CF47" s="23"/>
      <c r="CG47" s="23"/>
      <c r="CH47" s="23"/>
      <c r="CI47" s="23">
        <f t="shared" si="112"/>
        <v>0</v>
      </c>
      <c r="CK47" s="23"/>
      <c r="CL47" s="23"/>
      <c r="CM47" s="23"/>
      <c r="CN47" s="23"/>
      <c r="CO47" s="23"/>
      <c r="CP47" s="23"/>
      <c r="CQ47" s="23"/>
      <c r="CR47" s="23"/>
      <c r="CS47" s="23"/>
      <c r="CT47" s="23"/>
      <c r="CU47" s="23"/>
      <c r="CV47" s="23"/>
      <c r="CW47" s="23">
        <f t="shared" si="113"/>
        <v>0</v>
      </c>
      <c r="CY47" s="23"/>
      <c r="CZ47" s="23"/>
      <c r="DA47" s="23"/>
      <c r="DB47" s="23"/>
      <c r="DC47" s="23"/>
      <c r="DD47" s="23"/>
      <c r="DE47" s="23"/>
      <c r="DF47" s="23"/>
      <c r="DG47" s="23"/>
      <c r="DH47" s="23"/>
      <c r="DI47" s="23"/>
      <c r="DJ47" s="23"/>
      <c r="DK47" s="23">
        <f t="shared" si="114"/>
        <v>0</v>
      </c>
      <c r="DM47" s="23"/>
      <c r="DN47" s="23"/>
      <c r="DO47" s="23"/>
      <c r="DP47" s="23"/>
      <c r="DQ47" s="23"/>
      <c r="DR47" s="23"/>
      <c r="DS47" s="23"/>
      <c r="DT47" s="23"/>
      <c r="DU47" s="23"/>
      <c r="DV47" s="23"/>
      <c r="DW47" s="23"/>
      <c r="DX47" s="23"/>
      <c r="DY47" s="23">
        <f t="shared" si="115"/>
        <v>0</v>
      </c>
      <c r="EA47" s="23"/>
      <c r="EB47" s="23"/>
      <c r="EC47" s="23"/>
      <c r="ED47" s="23"/>
      <c r="EE47" s="23"/>
      <c r="EF47" s="23"/>
      <c r="EG47" s="23"/>
      <c r="EH47" s="23"/>
      <c r="EI47" s="23"/>
      <c r="EJ47" s="23"/>
      <c r="EK47" s="23"/>
      <c r="EL47" s="23"/>
      <c r="EM47" s="23">
        <f t="shared" si="116"/>
        <v>0</v>
      </c>
      <c r="EO47" s="23"/>
      <c r="EP47" s="23"/>
      <c r="EQ47" s="23"/>
      <c r="ER47" s="23"/>
      <c r="ES47" s="23"/>
      <c r="ET47" s="23"/>
      <c r="EU47" s="23"/>
      <c r="EV47" s="23"/>
      <c r="EW47" s="23"/>
      <c r="EX47" s="23"/>
      <c r="EY47" s="23"/>
      <c r="EZ47" s="23"/>
      <c r="FA47" s="23">
        <f t="shared" si="117"/>
        <v>0</v>
      </c>
    </row>
    <row r="48" spans="3:157" hidden="1" x14ac:dyDescent="0.25">
      <c r="C48" s="22" t="s">
        <v>26</v>
      </c>
      <c r="E48" s="23"/>
      <c r="F48" s="23"/>
      <c r="G48" s="23"/>
      <c r="H48" s="23"/>
      <c r="I48" s="23"/>
      <c r="J48" s="23"/>
      <c r="K48" s="23"/>
      <c r="L48" s="23"/>
      <c r="M48" s="23"/>
      <c r="N48" s="23"/>
      <c r="O48" s="23"/>
      <c r="P48" s="23"/>
      <c r="Q48" s="34">
        <f t="shared" si="97"/>
        <v>0</v>
      </c>
      <c r="S48" s="23"/>
      <c r="T48" s="23"/>
      <c r="U48" s="23"/>
      <c r="V48" s="23"/>
      <c r="W48" s="23"/>
      <c r="X48" s="23"/>
      <c r="Y48" s="23"/>
      <c r="Z48" s="23"/>
      <c r="AA48" s="23"/>
      <c r="AB48" s="23"/>
      <c r="AC48" s="23"/>
      <c r="AD48" s="23"/>
      <c r="AE48" s="23">
        <f t="shared" si="108"/>
        <v>0</v>
      </c>
      <c r="AG48" s="23"/>
      <c r="AH48" s="23"/>
      <c r="AI48" s="23"/>
      <c r="AJ48" s="23"/>
      <c r="AK48" s="23"/>
      <c r="AL48" s="23"/>
      <c r="AM48" s="23"/>
      <c r="AN48" s="23"/>
      <c r="AO48" s="23"/>
      <c r="AP48" s="23"/>
      <c r="AQ48" s="23"/>
      <c r="AR48" s="23"/>
      <c r="AS48" s="23">
        <f t="shared" si="109"/>
        <v>0</v>
      </c>
      <c r="AU48" s="23"/>
      <c r="AV48" s="23"/>
      <c r="AW48" s="23"/>
      <c r="AX48" s="23"/>
      <c r="AY48" s="23"/>
      <c r="AZ48" s="23"/>
      <c r="BA48" s="23"/>
      <c r="BB48" s="23"/>
      <c r="BC48" s="23"/>
      <c r="BD48" s="23"/>
      <c r="BE48" s="23"/>
      <c r="BF48" s="23"/>
      <c r="BG48" s="23">
        <f t="shared" si="110"/>
        <v>0</v>
      </c>
      <c r="BI48" s="23"/>
      <c r="BJ48" s="23"/>
      <c r="BK48" s="23"/>
      <c r="BL48" s="23"/>
      <c r="BM48" s="23"/>
      <c r="BN48" s="23"/>
      <c r="BO48" s="23"/>
      <c r="BP48" s="23"/>
      <c r="BQ48" s="23"/>
      <c r="BR48" s="23"/>
      <c r="BS48" s="23"/>
      <c r="BT48" s="23"/>
      <c r="BU48" s="23">
        <f t="shared" si="111"/>
        <v>0</v>
      </c>
      <c r="BW48" s="23"/>
      <c r="BX48" s="23"/>
      <c r="BY48" s="23"/>
      <c r="BZ48" s="23"/>
      <c r="CA48" s="23"/>
      <c r="CB48" s="23"/>
      <c r="CC48" s="23"/>
      <c r="CD48" s="23"/>
      <c r="CE48" s="23"/>
      <c r="CF48" s="23"/>
      <c r="CG48" s="23"/>
      <c r="CH48" s="23"/>
      <c r="CI48" s="23">
        <f t="shared" si="112"/>
        <v>0</v>
      </c>
      <c r="CK48" s="23"/>
      <c r="CL48" s="23"/>
      <c r="CM48" s="23"/>
      <c r="CN48" s="23"/>
      <c r="CO48" s="23"/>
      <c r="CP48" s="23"/>
      <c r="CQ48" s="23"/>
      <c r="CR48" s="23"/>
      <c r="CS48" s="23"/>
      <c r="CT48" s="23"/>
      <c r="CU48" s="23"/>
      <c r="CV48" s="23"/>
      <c r="CW48" s="23">
        <f t="shared" si="113"/>
        <v>0</v>
      </c>
      <c r="CY48" s="23"/>
      <c r="CZ48" s="23"/>
      <c r="DA48" s="23"/>
      <c r="DB48" s="23"/>
      <c r="DC48" s="23"/>
      <c r="DD48" s="23"/>
      <c r="DE48" s="23"/>
      <c r="DF48" s="23"/>
      <c r="DG48" s="23"/>
      <c r="DH48" s="23"/>
      <c r="DI48" s="23"/>
      <c r="DJ48" s="23"/>
      <c r="DK48" s="23">
        <f t="shared" si="114"/>
        <v>0</v>
      </c>
      <c r="DM48" s="23"/>
      <c r="DN48" s="23"/>
      <c r="DO48" s="23"/>
      <c r="DP48" s="23"/>
      <c r="DQ48" s="23"/>
      <c r="DR48" s="23"/>
      <c r="DS48" s="23"/>
      <c r="DT48" s="23"/>
      <c r="DU48" s="23"/>
      <c r="DV48" s="23"/>
      <c r="DW48" s="23"/>
      <c r="DX48" s="23"/>
      <c r="DY48" s="23">
        <f t="shared" si="115"/>
        <v>0</v>
      </c>
      <c r="EA48" s="23"/>
      <c r="EB48" s="23"/>
      <c r="EC48" s="23"/>
      <c r="ED48" s="23"/>
      <c r="EE48" s="23"/>
      <c r="EF48" s="23"/>
      <c r="EG48" s="23"/>
      <c r="EH48" s="23"/>
      <c r="EI48" s="23"/>
      <c r="EJ48" s="23"/>
      <c r="EK48" s="23"/>
      <c r="EL48" s="23"/>
      <c r="EM48" s="23">
        <f t="shared" si="116"/>
        <v>0</v>
      </c>
      <c r="EO48" s="23"/>
      <c r="EP48" s="23"/>
      <c r="EQ48" s="23"/>
      <c r="ER48" s="23"/>
      <c r="ES48" s="23"/>
      <c r="ET48" s="23"/>
      <c r="EU48" s="23"/>
      <c r="EV48" s="23"/>
      <c r="EW48" s="23"/>
      <c r="EX48" s="23"/>
      <c r="EY48" s="23"/>
      <c r="EZ48" s="23"/>
      <c r="FA48" s="23">
        <f t="shared" si="117"/>
        <v>0</v>
      </c>
    </row>
    <row r="49" spans="3:157" hidden="1" x14ac:dyDescent="0.25">
      <c r="C49" s="22" t="s">
        <v>26</v>
      </c>
      <c r="E49" s="23"/>
      <c r="F49" s="23"/>
      <c r="G49" s="23"/>
      <c r="H49" s="23"/>
      <c r="I49" s="23"/>
      <c r="J49" s="23"/>
      <c r="K49" s="23"/>
      <c r="L49" s="23"/>
      <c r="M49" s="23"/>
      <c r="N49" s="23"/>
      <c r="O49" s="23"/>
      <c r="P49" s="23"/>
      <c r="Q49" s="34">
        <f t="shared" si="97"/>
        <v>0</v>
      </c>
      <c r="S49" s="23"/>
      <c r="T49" s="23"/>
      <c r="U49" s="23"/>
      <c r="V49" s="23"/>
      <c r="W49" s="23"/>
      <c r="X49" s="23"/>
      <c r="Y49" s="23"/>
      <c r="Z49" s="23"/>
      <c r="AA49" s="23"/>
      <c r="AB49" s="23"/>
      <c r="AC49" s="23"/>
      <c r="AD49" s="23"/>
      <c r="AE49" s="23">
        <f t="shared" si="108"/>
        <v>0</v>
      </c>
      <c r="AG49" s="23"/>
      <c r="AH49" s="23"/>
      <c r="AI49" s="23"/>
      <c r="AJ49" s="23"/>
      <c r="AK49" s="23"/>
      <c r="AL49" s="23"/>
      <c r="AM49" s="23"/>
      <c r="AN49" s="23"/>
      <c r="AO49" s="23"/>
      <c r="AP49" s="23"/>
      <c r="AQ49" s="23"/>
      <c r="AR49" s="23"/>
      <c r="AS49" s="23">
        <f t="shared" si="109"/>
        <v>0</v>
      </c>
      <c r="AU49" s="23"/>
      <c r="AV49" s="23"/>
      <c r="AW49" s="23"/>
      <c r="AX49" s="23"/>
      <c r="AY49" s="23"/>
      <c r="AZ49" s="23"/>
      <c r="BA49" s="23"/>
      <c r="BB49" s="23"/>
      <c r="BC49" s="23"/>
      <c r="BD49" s="23"/>
      <c r="BE49" s="23"/>
      <c r="BF49" s="23"/>
      <c r="BG49" s="23">
        <f t="shared" si="110"/>
        <v>0</v>
      </c>
      <c r="BI49" s="23"/>
      <c r="BJ49" s="23"/>
      <c r="BK49" s="23"/>
      <c r="BL49" s="23"/>
      <c r="BM49" s="23"/>
      <c r="BN49" s="23"/>
      <c r="BO49" s="23"/>
      <c r="BP49" s="23"/>
      <c r="BQ49" s="23"/>
      <c r="BR49" s="23"/>
      <c r="BS49" s="23"/>
      <c r="BT49" s="23"/>
      <c r="BU49" s="23">
        <f t="shared" si="111"/>
        <v>0</v>
      </c>
      <c r="BW49" s="23"/>
      <c r="BX49" s="23"/>
      <c r="BY49" s="23"/>
      <c r="BZ49" s="23"/>
      <c r="CA49" s="23"/>
      <c r="CB49" s="23"/>
      <c r="CC49" s="23"/>
      <c r="CD49" s="23"/>
      <c r="CE49" s="23"/>
      <c r="CF49" s="23"/>
      <c r="CG49" s="23"/>
      <c r="CH49" s="23"/>
      <c r="CI49" s="23">
        <f t="shared" si="112"/>
        <v>0</v>
      </c>
      <c r="CK49" s="23"/>
      <c r="CL49" s="23"/>
      <c r="CM49" s="23"/>
      <c r="CN49" s="23"/>
      <c r="CO49" s="23"/>
      <c r="CP49" s="23"/>
      <c r="CQ49" s="23"/>
      <c r="CR49" s="23"/>
      <c r="CS49" s="23"/>
      <c r="CT49" s="23"/>
      <c r="CU49" s="23"/>
      <c r="CV49" s="23"/>
      <c r="CW49" s="23">
        <f t="shared" si="113"/>
        <v>0</v>
      </c>
      <c r="CY49" s="23"/>
      <c r="CZ49" s="23"/>
      <c r="DA49" s="23"/>
      <c r="DB49" s="23"/>
      <c r="DC49" s="23"/>
      <c r="DD49" s="23"/>
      <c r="DE49" s="23"/>
      <c r="DF49" s="23"/>
      <c r="DG49" s="23"/>
      <c r="DH49" s="23"/>
      <c r="DI49" s="23"/>
      <c r="DJ49" s="23"/>
      <c r="DK49" s="23">
        <f t="shared" si="114"/>
        <v>0</v>
      </c>
      <c r="DM49" s="23"/>
      <c r="DN49" s="23"/>
      <c r="DO49" s="23"/>
      <c r="DP49" s="23"/>
      <c r="DQ49" s="23"/>
      <c r="DR49" s="23"/>
      <c r="DS49" s="23"/>
      <c r="DT49" s="23"/>
      <c r="DU49" s="23"/>
      <c r="DV49" s="23"/>
      <c r="DW49" s="23"/>
      <c r="DX49" s="23"/>
      <c r="DY49" s="23">
        <f t="shared" si="115"/>
        <v>0</v>
      </c>
      <c r="EA49" s="23"/>
      <c r="EB49" s="23"/>
      <c r="EC49" s="23"/>
      <c r="ED49" s="23"/>
      <c r="EE49" s="23"/>
      <c r="EF49" s="23"/>
      <c r="EG49" s="23"/>
      <c r="EH49" s="23"/>
      <c r="EI49" s="23"/>
      <c r="EJ49" s="23"/>
      <c r="EK49" s="23"/>
      <c r="EL49" s="23"/>
      <c r="EM49" s="23">
        <f t="shared" si="116"/>
        <v>0</v>
      </c>
      <c r="EO49" s="23"/>
      <c r="EP49" s="23"/>
      <c r="EQ49" s="23"/>
      <c r="ER49" s="23"/>
      <c r="ES49" s="23"/>
      <c r="ET49" s="23"/>
      <c r="EU49" s="23"/>
      <c r="EV49" s="23"/>
      <c r="EW49" s="23"/>
      <c r="EX49" s="23"/>
      <c r="EY49" s="23"/>
      <c r="EZ49" s="23"/>
      <c r="FA49" s="23">
        <f t="shared" si="117"/>
        <v>0</v>
      </c>
    </row>
    <row r="50" spans="3:157" hidden="1" x14ac:dyDescent="0.25">
      <c r="C50" s="22" t="s">
        <v>26</v>
      </c>
      <c r="E50" s="23"/>
      <c r="F50" s="23"/>
      <c r="G50" s="23"/>
      <c r="H50" s="23"/>
      <c r="I50" s="23"/>
      <c r="J50" s="23"/>
      <c r="K50" s="23"/>
      <c r="L50" s="23"/>
      <c r="M50" s="23"/>
      <c r="N50" s="23"/>
      <c r="O50" s="23"/>
      <c r="P50" s="23"/>
      <c r="Q50" s="34">
        <f t="shared" si="97"/>
        <v>0</v>
      </c>
      <c r="S50" s="23"/>
      <c r="T50" s="23"/>
      <c r="U50" s="23"/>
      <c r="V50" s="23"/>
      <c r="W50" s="23"/>
      <c r="X50" s="23"/>
      <c r="Y50" s="23"/>
      <c r="Z50" s="23"/>
      <c r="AA50" s="23"/>
      <c r="AB50" s="23"/>
      <c r="AC50" s="23"/>
      <c r="AD50" s="23"/>
      <c r="AE50" s="23">
        <f t="shared" si="108"/>
        <v>0</v>
      </c>
      <c r="AG50" s="23"/>
      <c r="AH50" s="23"/>
      <c r="AI50" s="23"/>
      <c r="AJ50" s="23"/>
      <c r="AK50" s="23"/>
      <c r="AL50" s="23"/>
      <c r="AM50" s="23"/>
      <c r="AN50" s="23"/>
      <c r="AO50" s="23"/>
      <c r="AP50" s="23"/>
      <c r="AQ50" s="23"/>
      <c r="AR50" s="23"/>
      <c r="AS50" s="23">
        <f t="shared" si="109"/>
        <v>0</v>
      </c>
      <c r="AU50" s="23"/>
      <c r="AV50" s="23"/>
      <c r="AW50" s="23"/>
      <c r="AX50" s="23"/>
      <c r="AY50" s="23"/>
      <c r="AZ50" s="23"/>
      <c r="BA50" s="23"/>
      <c r="BB50" s="23"/>
      <c r="BC50" s="23"/>
      <c r="BD50" s="23"/>
      <c r="BE50" s="23"/>
      <c r="BF50" s="23"/>
      <c r="BG50" s="23">
        <f t="shared" si="110"/>
        <v>0</v>
      </c>
      <c r="BI50" s="23"/>
      <c r="BJ50" s="23"/>
      <c r="BK50" s="23"/>
      <c r="BL50" s="23"/>
      <c r="BM50" s="23"/>
      <c r="BN50" s="23"/>
      <c r="BO50" s="23"/>
      <c r="BP50" s="23"/>
      <c r="BQ50" s="23"/>
      <c r="BR50" s="23"/>
      <c r="BS50" s="23"/>
      <c r="BT50" s="23"/>
      <c r="BU50" s="23">
        <f t="shared" si="111"/>
        <v>0</v>
      </c>
      <c r="BW50" s="23"/>
      <c r="BX50" s="23"/>
      <c r="BY50" s="23"/>
      <c r="BZ50" s="23"/>
      <c r="CA50" s="23"/>
      <c r="CB50" s="23"/>
      <c r="CC50" s="23"/>
      <c r="CD50" s="23"/>
      <c r="CE50" s="23"/>
      <c r="CF50" s="23"/>
      <c r="CG50" s="23"/>
      <c r="CH50" s="23"/>
      <c r="CI50" s="23">
        <f t="shared" si="112"/>
        <v>0</v>
      </c>
      <c r="CK50" s="23"/>
      <c r="CL50" s="23"/>
      <c r="CM50" s="23"/>
      <c r="CN50" s="23"/>
      <c r="CO50" s="23"/>
      <c r="CP50" s="23"/>
      <c r="CQ50" s="23"/>
      <c r="CR50" s="23"/>
      <c r="CS50" s="23"/>
      <c r="CT50" s="23"/>
      <c r="CU50" s="23"/>
      <c r="CV50" s="23"/>
      <c r="CW50" s="23">
        <f t="shared" si="113"/>
        <v>0</v>
      </c>
      <c r="CY50" s="23"/>
      <c r="CZ50" s="23"/>
      <c r="DA50" s="23"/>
      <c r="DB50" s="23"/>
      <c r="DC50" s="23"/>
      <c r="DD50" s="23"/>
      <c r="DE50" s="23"/>
      <c r="DF50" s="23"/>
      <c r="DG50" s="23"/>
      <c r="DH50" s="23"/>
      <c r="DI50" s="23"/>
      <c r="DJ50" s="23"/>
      <c r="DK50" s="23">
        <f t="shared" si="114"/>
        <v>0</v>
      </c>
      <c r="DM50" s="23"/>
      <c r="DN50" s="23"/>
      <c r="DO50" s="23"/>
      <c r="DP50" s="23"/>
      <c r="DQ50" s="23"/>
      <c r="DR50" s="23"/>
      <c r="DS50" s="23"/>
      <c r="DT50" s="23"/>
      <c r="DU50" s="23"/>
      <c r="DV50" s="23"/>
      <c r="DW50" s="23"/>
      <c r="DX50" s="23"/>
      <c r="DY50" s="23">
        <f t="shared" si="115"/>
        <v>0</v>
      </c>
      <c r="EA50" s="23"/>
      <c r="EB50" s="23"/>
      <c r="EC50" s="23"/>
      <c r="ED50" s="23"/>
      <c r="EE50" s="23"/>
      <c r="EF50" s="23"/>
      <c r="EG50" s="23"/>
      <c r="EH50" s="23"/>
      <c r="EI50" s="23"/>
      <c r="EJ50" s="23"/>
      <c r="EK50" s="23"/>
      <c r="EL50" s="23"/>
      <c r="EM50" s="23">
        <f t="shared" si="116"/>
        <v>0</v>
      </c>
      <c r="EO50" s="23"/>
      <c r="EP50" s="23"/>
      <c r="EQ50" s="23"/>
      <c r="ER50" s="23"/>
      <c r="ES50" s="23"/>
      <c r="ET50" s="23"/>
      <c r="EU50" s="23"/>
      <c r="EV50" s="23"/>
      <c r="EW50" s="23"/>
      <c r="EX50" s="23"/>
      <c r="EY50" s="23"/>
      <c r="EZ50" s="23"/>
      <c r="FA50" s="23">
        <f t="shared" si="117"/>
        <v>0</v>
      </c>
    </row>
    <row r="51" spans="3:157" x14ac:dyDescent="0.25">
      <c r="C51" s="18" t="s">
        <v>13</v>
      </c>
      <c r="E51" s="29">
        <f t="shared" ref="E51:P51" ca="1" si="118">SUM(INDIRECT(ADDRESS(Savings_min_row,COLUMN())&amp; ":"&amp; ADDRESS(Savings_max_row,COLUMN())))</f>
        <v>1750</v>
      </c>
      <c r="F51" s="29">
        <f t="shared" ca="1" si="118"/>
        <v>1650</v>
      </c>
      <c r="G51" s="29">
        <f t="shared" ca="1" si="118"/>
        <v>1550</v>
      </c>
      <c r="H51" s="29">
        <f t="shared" ca="1" si="118"/>
        <v>1850</v>
      </c>
      <c r="I51" s="29">
        <f t="shared" ca="1" si="118"/>
        <v>2650</v>
      </c>
      <c r="J51" s="29">
        <f t="shared" ca="1" si="118"/>
        <v>2550</v>
      </c>
      <c r="K51" s="29">
        <f t="shared" ca="1" si="118"/>
        <v>2750</v>
      </c>
      <c r="L51" s="29">
        <f t="shared" ca="1" si="118"/>
        <v>1450</v>
      </c>
      <c r="M51" s="29">
        <f t="shared" ca="1" si="118"/>
        <v>2550</v>
      </c>
      <c r="N51" s="29">
        <f t="shared" ca="1" si="118"/>
        <v>2750</v>
      </c>
      <c r="O51" s="29">
        <f t="shared" ca="1" si="118"/>
        <v>2650</v>
      </c>
      <c r="P51" s="29">
        <f t="shared" ca="1" si="118"/>
        <v>2250</v>
      </c>
      <c r="Q51" s="36">
        <f t="shared" ca="1" si="97"/>
        <v>26400</v>
      </c>
      <c r="S51" s="23">
        <f t="shared" ref="S51:AE51" ca="1" si="119">SUM(INDIRECT(ADDRESS(Savings_min_row,COLUMN())&amp; ":"&amp; ADDRESS(Savings_max_row,COLUMN())))</f>
        <v>0</v>
      </c>
      <c r="T51" s="23">
        <f t="shared" ca="1" si="119"/>
        <v>0</v>
      </c>
      <c r="U51" s="23">
        <f t="shared" ca="1" si="119"/>
        <v>0</v>
      </c>
      <c r="V51" s="23">
        <f t="shared" ca="1" si="119"/>
        <v>0</v>
      </c>
      <c r="W51" s="23">
        <f t="shared" ca="1" si="119"/>
        <v>0</v>
      </c>
      <c r="X51" s="23">
        <f t="shared" ca="1" si="119"/>
        <v>0</v>
      </c>
      <c r="Y51" s="23">
        <f t="shared" ca="1" si="119"/>
        <v>0</v>
      </c>
      <c r="Z51" s="23">
        <f t="shared" ca="1" si="119"/>
        <v>0</v>
      </c>
      <c r="AA51" s="23">
        <f t="shared" ca="1" si="119"/>
        <v>0</v>
      </c>
      <c r="AB51" s="23">
        <f t="shared" ca="1" si="119"/>
        <v>0</v>
      </c>
      <c r="AC51" s="23">
        <f t="shared" ca="1" si="119"/>
        <v>0</v>
      </c>
      <c r="AD51" s="23">
        <f t="shared" ca="1" si="119"/>
        <v>0</v>
      </c>
      <c r="AE51" s="23">
        <f t="shared" ca="1" si="119"/>
        <v>0</v>
      </c>
      <c r="AG51" s="23">
        <f t="shared" ref="AG51:AS51" ca="1" si="120">SUM(INDIRECT(ADDRESS(Savings_min_row,COLUMN())&amp; ":"&amp; ADDRESS(Savings_max_row,COLUMN())))</f>
        <v>0</v>
      </c>
      <c r="AH51" s="23">
        <f t="shared" ca="1" si="120"/>
        <v>0</v>
      </c>
      <c r="AI51" s="23">
        <f t="shared" ca="1" si="120"/>
        <v>0</v>
      </c>
      <c r="AJ51" s="23">
        <f t="shared" ca="1" si="120"/>
        <v>0</v>
      </c>
      <c r="AK51" s="23">
        <f t="shared" ca="1" si="120"/>
        <v>0</v>
      </c>
      <c r="AL51" s="23">
        <f t="shared" ca="1" si="120"/>
        <v>0</v>
      </c>
      <c r="AM51" s="23">
        <f t="shared" ca="1" si="120"/>
        <v>0</v>
      </c>
      <c r="AN51" s="23">
        <f t="shared" ca="1" si="120"/>
        <v>0</v>
      </c>
      <c r="AO51" s="23">
        <f t="shared" ca="1" si="120"/>
        <v>0</v>
      </c>
      <c r="AP51" s="23">
        <f t="shared" ca="1" si="120"/>
        <v>0</v>
      </c>
      <c r="AQ51" s="23">
        <f t="shared" ca="1" si="120"/>
        <v>0</v>
      </c>
      <c r="AR51" s="23">
        <f t="shared" ca="1" si="120"/>
        <v>0</v>
      </c>
      <c r="AS51" s="23">
        <f t="shared" ca="1" si="120"/>
        <v>0</v>
      </c>
      <c r="AU51" s="23">
        <f t="shared" ref="AU51:BG51" ca="1" si="121">SUM(INDIRECT(ADDRESS(Savings_min_row,COLUMN())&amp; ":"&amp; ADDRESS(Savings_max_row,COLUMN())))</f>
        <v>0</v>
      </c>
      <c r="AV51" s="23">
        <f t="shared" ca="1" si="121"/>
        <v>0</v>
      </c>
      <c r="AW51" s="23">
        <f t="shared" ca="1" si="121"/>
        <v>0</v>
      </c>
      <c r="AX51" s="23">
        <f t="shared" ca="1" si="121"/>
        <v>0</v>
      </c>
      <c r="AY51" s="23">
        <f t="shared" ca="1" si="121"/>
        <v>0</v>
      </c>
      <c r="AZ51" s="23">
        <f t="shared" ca="1" si="121"/>
        <v>0</v>
      </c>
      <c r="BA51" s="23">
        <f t="shared" ca="1" si="121"/>
        <v>0</v>
      </c>
      <c r="BB51" s="23">
        <f t="shared" ca="1" si="121"/>
        <v>0</v>
      </c>
      <c r="BC51" s="23">
        <f t="shared" ca="1" si="121"/>
        <v>0</v>
      </c>
      <c r="BD51" s="23">
        <f t="shared" ca="1" si="121"/>
        <v>0</v>
      </c>
      <c r="BE51" s="23">
        <f t="shared" ca="1" si="121"/>
        <v>0</v>
      </c>
      <c r="BF51" s="23">
        <f t="shared" ca="1" si="121"/>
        <v>0</v>
      </c>
      <c r="BG51" s="23">
        <f t="shared" ca="1" si="121"/>
        <v>0</v>
      </c>
      <c r="BI51" s="23">
        <f t="shared" ref="BI51:BU51" ca="1" si="122">SUM(INDIRECT(ADDRESS(Savings_min_row,COLUMN())&amp; ":"&amp; ADDRESS(Savings_max_row,COLUMN())))</f>
        <v>0</v>
      </c>
      <c r="BJ51" s="23">
        <f t="shared" ca="1" si="122"/>
        <v>0</v>
      </c>
      <c r="BK51" s="23">
        <f t="shared" ca="1" si="122"/>
        <v>0</v>
      </c>
      <c r="BL51" s="23">
        <f t="shared" ca="1" si="122"/>
        <v>0</v>
      </c>
      <c r="BM51" s="23">
        <f t="shared" ca="1" si="122"/>
        <v>0</v>
      </c>
      <c r="BN51" s="23">
        <f t="shared" ca="1" si="122"/>
        <v>0</v>
      </c>
      <c r="BO51" s="23">
        <f t="shared" ca="1" si="122"/>
        <v>0</v>
      </c>
      <c r="BP51" s="23">
        <f t="shared" ca="1" si="122"/>
        <v>0</v>
      </c>
      <c r="BQ51" s="23">
        <f t="shared" ca="1" si="122"/>
        <v>0</v>
      </c>
      <c r="BR51" s="23">
        <f t="shared" ca="1" si="122"/>
        <v>0</v>
      </c>
      <c r="BS51" s="23">
        <f t="shared" ca="1" si="122"/>
        <v>0</v>
      </c>
      <c r="BT51" s="23">
        <f t="shared" ca="1" si="122"/>
        <v>0</v>
      </c>
      <c r="BU51" s="23">
        <f t="shared" ca="1" si="122"/>
        <v>0</v>
      </c>
      <c r="BW51" s="23">
        <f t="shared" ref="BW51:CI51" ca="1" si="123">SUM(INDIRECT(ADDRESS(Savings_min_row,COLUMN())&amp; ":"&amp; ADDRESS(Savings_max_row,COLUMN())))</f>
        <v>0</v>
      </c>
      <c r="BX51" s="23">
        <f t="shared" ca="1" si="123"/>
        <v>0</v>
      </c>
      <c r="BY51" s="23">
        <f t="shared" ca="1" si="123"/>
        <v>0</v>
      </c>
      <c r="BZ51" s="23">
        <f t="shared" ca="1" si="123"/>
        <v>0</v>
      </c>
      <c r="CA51" s="23">
        <f t="shared" ca="1" si="123"/>
        <v>0</v>
      </c>
      <c r="CB51" s="23">
        <f t="shared" ca="1" si="123"/>
        <v>0</v>
      </c>
      <c r="CC51" s="23">
        <f t="shared" ca="1" si="123"/>
        <v>0</v>
      </c>
      <c r="CD51" s="23">
        <f t="shared" ca="1" si="123"/>
        <v>0</v>
      </c>
      <c r="CE51" s="23">
        <f t="shared" ca="1" si="123"/>
        <v>0</v>
      </c>
      <c r="CF51" s="23">
        <f t="shared" ca="1" si="123"/>
        <v>0</v>
      </c>
      <c r="CG51" s="23">
        <f t="shared" ca="1" si="123"/>
        <v>0</v>
      </c>
      <c r="CH51" s="23">
        <f t="shared" ca="1" si="123"/>
        <v>0</v>
      </c>
      <c r="CI51" s="23">
        <f t="shared" ca="1" si="123"/>
        <v>0</v>
      </c>
      <c r="CK51" s="23">
        <f t="shared" ref="CK51:CW51" ca="1" si="124">SUM(INDIRECT(ADDRESS(Savings_min_row,COLUMN())&amp; ":"&amp; ADDRESS(Savings_max_row,COLUMN())))</f>
        <v>0</v>
      </c>
      <c r="CL51" s="23">
        <f t="shared" ca="1" si="124"/>
        <v>0</v>
      </c>
      <c r="CM51" s="23">
        <f t="shared" ca="1" si="124"/>
        <v>0</v>
      </c>
      <c r="CN51" s="23">
        <f t="shared" ca="1" si="124"/>
        <v>0</v>
      </c>
      <c r="CO51" s="23">
        <f t="shared" ca="1" si="124"/>
        <v>0</v>
      </c>
      <c r="CP51" s="23">
        <f t="shared" ca="1" si="124"/>
        <v>0</v>
      </c>
      <c r="CQ51" s="23">
        <f t="shared" ca="1" si="124"/>
        <v>0</v>
      </c>
      <c r="CR51" s="23">
        <f t="shared" ca="1" si="124"/>
        <v>0</v>
      </c>
      <c r="CS51" s="23">
        <f t="shared" ca="1" si="124"/>
        <v>0</v>
      </c>
      <c r="CT51" s="23">
        <f t="shared" ca="1" si="124"/>
        <v>0</v>
      </c>
      <c r="CU51" s="23">
        <f t="shared" ca="1" si="124"/>
        <v>0</v>
      </c>
      <c r="CV51" s="23">
        <f t="shared" ca="1" si="124"/>
        <v>0</v>
      </c>
      <c r="CW51" s="23">
        <f t="shared" ca="1" si="124"/>
        <v>0</v>
      </c>
      <c r="CY51" s="23">
        <f t="shared" ref="CY51:DK51" ca="1" si="125">SUM(INDIRECT(ADDRESS(Savings_min_row,COLUMN())&amp; ":"&amp; ADDRESS(Savings_max_row,COLUMN())))</f>
        <v>0</v>
      </c>
      <c r="CZ51" s="23">
        <f t="shared" ca="1" si="125"/>
        <v>0</v>
      </c>
      <c r="DA51" s="23">
        <f t="shared" ca="1" si="125"/>
        <v>0</v>
      </c>
      <c r="DB51" s="23">
        <f t="shared" ca="1" si="125"/>
        <v>0</v>
      </c>
      <c r="DC51" s="23">
        <f t="shared" ca="1" si="125"/>
        <v>0</v>
      </c>
      <c r="DD51" s="23">
        <f t="shared" ca="1" si="125"/>
        <v>0</v>
      </c>
      <c r="DE51" s="23">
        <f t="shared" ca="1" si="125"/>
        <v>0</v>
      </c>
      <c r="DF51" s="23">
        <f t="shared" ca="1" si="125"/>
        <v>0</v>
      </c>
      <c r="DG51" s="23">
        <f t="shared" ca="1" si="125"/>
        <v>0</v>
      </c>
      <c r="DH51" s="23">
        <f t="shared" ca="1" si="125"/>
        <v>0</v>
      </c>
      <c r="DI51" s="23">
        <f t="shared" ca="1" si="125"/>
        <v>0</v>
      </c>
      <c r="DJ51" s="23">
        <f t="shared" ca="1" si="125"/>
        <v>0</v>
      </c>
      <c r="DK51" s="23">
        <f t="shared" ca="1" si="125"/>
        <v>0</v>
      </c>
      <c r="DM51" s="23">
        <f t="shared" ref="DM51:DY51" ca="1" si="126">SUM(INDIRECT(ADDRESS(Savings_min_row,COLUMN())&amp; ":"&amp; ADDRESS(Savings_max_row,COLUMN())))</f>
        <v>0</v>
      </c>
      <c r="DN51" s="23">
        <f t="shared" ca="1" si="126"/>
        <v>0</v>
      </c>
      <c r="DO51" s="23">
        <f t="shared" ca="1" si="126"/>
        <v>0</v>
      </c>
      <c r="DP51" s="23">
        <f t="shared" ca="1" si="126"/>
        <v>0</v>
      </c>
      <c r="DQ51" s="23">
        <f t="shared" ca="1" si="126"/>
        <v>0</v>
      </c>
      <c r="DR51" s="23">
        <f t="shared" ca="1" si="126"/>
        <v>0</v>
      </c>
      <c r="DS51" s="23">
        <f t="shared" ca="1" si="126"/>
        <v>0</v>
      </c>
      <c r="DT51" s="23">
        <f t="shared" ca="1" si="126"/>
        <v>0</v>
      </c>
      <c r="DU51" s="23">
        <f t="shared" ca="1" si="126"/>
        <v>0</v>
      </c>
      <c r="DV51" s="23">
        <f t="shared" ca="1" si="126"/>
        <v>0</v>
      </c>
      <c r="DW51" s="23">
        <f t="shared" ca="1" si="126"/>
        <v>0</v>
      </c>
      <c r="DX51" s="23">
        <f t="shared" ca="1" si="126"/>
        <v>0</v>
      </c>
      <c r="DY51" s="23">
        <f t="shared" ca="1" si="126"/>
        <v>0</v>
      </c>
      <c r="EA51" s="23">
        <f t="shared" ref="EA51:EM51" ca="1" si="127">SUM(INDIRECT(ADDRESS(Savings_min_row,COLUMN())&amp; ":"&amp; ADDRESS(Savings_max_row,COLUMN())))</f>
        <v>0</v>
      </c>
      <c r="EB51" s="23">
        <f t="shared" ca="1" si="127"/>
        <v>0</v>
      </c>
      <c r="EC51" s="23">
        <f t="shared" ca="1" si="127"/>
        <v>0</v>
      </c>
      <c r="ED51" s="23">
        <f t="shared" ca="1" si="127"/>
        <v>0</v>
      </c>
      <c r="EE51" s="23">
        <f t="shared" ca="1" si="127"/>
        <v>0</v>
      </c>
      <c r="EF51" s="23">
        <f t="shared" ca="1" si="127"/>
        <v>0</v>
      </c>
      <c r="EG51" s="23">
        <f t="shared" ca="1" si="127"/>
        <v>0</v>
      </c>
      <c r="EH51" s="23">
        <f t="shared" ca="1" si="127"/>
        <v>0</v>
      </c>
      <c r="EI51" s="23">
        <f t="shared" ca="1" si="127"/>
        <v>0</v>
      </c>
      <c r="EJ51" s="23">
        <f t="shared" ca="1" si="127"/>
        <v>0</v>
      </c>
      <c r="EK51" s="23">
        <f t="shared" ca="1" si="127"/>
        <v>0</v>
      </c>
      <c r="EL51" s="23">
        <f t="shared" ca="1" si="127"/>
        <v>0</v>
      </c>
      <c r="EM51" s="23">
        <f t="shared" ca="1" si="127"/>
        <v>0</v>
      </c>
      <c r="EO51" s="23">
        <f t="shared" ref="EO51:FA51" ca="1" si="128">SUM(INDIRECT(ADDRESS(Savings_min_row,COLUMN())&amp; ":"&amp; ADDRESS(Savings_max_row,COLUMN())))</f>
        <v>0</v>
      </c>
      <c r="EP51" s="23">
        <f t="shared" ca="1" si="128"/>
        <v>0</v>
      </c>
      <c r="EQ51" s="23">
        <f t="shared" ca="1" si="128"/>
        <v>0</v>
      </c>
      <c r="ER51" s="23">
        <f t="shared" ca="1" si="128"/>
        <v>0</v>
      </c>
      <c r="ES51" s="23">
        <f t="shared" ca="1" si="128"/>
        <v>0</v>
      </c>
      <c r="ET51" s="23">
        <f t="shared" ca="1" si="128"/>
        <v>0</v>
      </c>
      <c r="EU51" s="23">
        <f t="shared" ca="1" si="128"/>
        <v>0</v>
      </c>
      <c r="EV51" s="23">
        <f t="shared" ca="1" si="128"/>
        <v>0</v>
      </c>
      <c r="EW51" s="23">
        <f t="shared" ca="1" si="128"/>
        <v>0</v>
      </c>
      <c r="EX51" s="23">
        <f t="shared" ca="1" si="128"/>
        <v>0</v>
      </c>
      <c r="EY51" s="23">
        <f t="shared" ca="1" si="128"/>
        <v>0</v>
      </c>
      <c r="EZ51" s="23">
        <f t="shared" ca="1" si="128"/>
        <v>0</v>
      </c>
      <c r="FA51" s="23">
        <f t="shared" ca="1" si="128"/>
        <v>0</v>
      </c>
    </row>
    <row r="52" spans="3:157" x14ac:dyDescent="0.25">
      <c r="C52" s="21"/>
    </row>
  </sheetData>
  <mergeCells count="11">
    <mergeCell ref="E5:Q5"/>
    <mergeCell ref="S5:AE5"/>
    <mergeCell ref="AG5:AS5"/>
    <mergeCell ref="AU5:BG5"/>
    <mergeCell ref="BI5:BU5"/>
    <mergeCell ref="EO5:FA5"/>
    <mergeCell ref="BW5:CI5"/>
    <mergeCell ref="CK5:CW5"/>
    <mergeCell ref="CY5:DK5"/>
    <mergeCell ref="DM5:DY5"/>
    <mergeCell ref="EA5:EM5"/>
  </mergeCells>
  <conditionalFormatting sqref="C10:C21 E10:Q21">
    <cfRule type="expression" dxfId="94" priority="66">
      <formula>ROW(C10)&lt;= income_max_row</formula>
    </cfRule>
  </conditionalFormatting>
  <conditionalFormatting sqref="C26:C36 E26:Q26 E27:P36 Q27:Q37">
    <cfRule type="expression" dxfId="93" priority="65">
      <formula>ROW(C26)&lt;= expenses_max_row</formula>
    </cfRule>
  </conditionalFormatting>
  <conditionalFormatting sqref="C41:C50 E41:Q41 E42:P50 Q42:Q51">
    <cfRule type="expression" dxfId="92" priority="64">
      <formula>ROW(C41)&lt;=Savings_max_row</formula>
    </cfRule>
  </conditionalFormatting>
  <conditionalFormatting sqref="E6:Q7">
    <cfRule type="expression" dxfId="91" priority="61" stopIfTrue="1">
      <formula>AND($C$22=0, $C$37=0, $C$51=0)</formula>
    </cfRule>
    <cfRule type="expression" dxfId="90" priority="62" stopIfTrue="1">
      <formula>E$7=0</formula>
    </cfRule>
    <cfRule type="expression" dxfId="89" priority="63">
      <formula>E$7&lt;0</formula>
    </cfRule>
  </conditionalFormatting>
  <conditionalFormatting sqref="S10:AE21">
    <cfRule type="expression" dxfId="88" priority="60">
      <formula>ROW(S10)&lt;= income_max_row</formula>
    </cfRule>
  </conditionalFormatting>
  <conditionalFormatting sqref="S26:AE36">
    <cfRule type="expression" dxfId="87" priority="59">
      <formula>ROW(S26)&lt;= expenses_max_row</formula>
    </cfRule>
  </conditionalFormatting>
  <conditionalFormatting sqref="S41:AE50">
    <cfRule type="expression" dxfId="86" priority="58">
      <formula>ROW(S41)&lt;=Savings_max_row</formula>
    </cfRule>
  </conditionalFormatting>
  <conditionalFormatting sqref="S6:AE7">
    <cfRule type="expression" dxfId="85" priority="55" stopIfTrue="1">
      <formula>AND($C$22=0, $C$37=0, $C$51=0)</formula>
    </cfRule>
    <cfRule type="expression" dxfId="84" priority="56" stopIfTrue="1">
      <formula>S$7=0</formula>
    </cfRule>
    <cfRule type="expression" dxfId="83" priority="57">
      <formula>S$7&lt;0</formula>
    </cfRule>
  </conditionalFormatting>
  <conditionalFormatting sqref="AG10:AS21">
    <cfRule type="expression" dxfId="82" priority="54">
      <formula>ROW(AG10)&lt;= income_max_row</formula>
    </cfRule>
  </conditionalFormatting>
  <conditionalFormatting sqref="AG26:AS36">
    <cfRule type="expression" dxfId="81" priority="53">
      <formula>ROW(AG26)&lt;= expenses_max_row</formula>
    </cfRule>
  </conditionalFormatting>
  <conditionalFormatting sqref="AG41:AS50">
    <cfRule type="expression" dxfId="80" priority="52">
      <formula>ROW(AG41)&lt;=Savings_max_row</formula>
    </cfRule>
  </conditionalFormatting>
  <conditionalFormatting sqref="AG6:AS7">
    <cfRule type="expression" dxfId="79" priority="49" stopIfTrue="1">
      <formula>AND($C$22=0, $C$37=0, $C$51=0)</formula>
    </cfRule>
    <cfRule type="expression" dxfId="78" priority="50" stopIfTrue="1">
      <formula>AG$7=0</formula>
    </cfRule>
    <cfRule type="expression" dxfId="77" priority="51">
      <formula>AG$7&lt;0</formula>
    </cfRule>
  </conditionalFormatting>
  <conditionalFormatting sqref="AU10:BG21">
    <cfRule type="expression" dxfId="76" priority="48">
      <formula>ROW(AU10)&lt;= income_max_row</formula>
    </cfRule>
  </conditionalFormatting>
  <conditionalFormatting sqref="AU26:BG36">
    <cfRule type="expression" dxfId="75" priority="47">
      <formula>ROW(AU26)&lt;= expenses_max_row</formula>
    </cfRule>
  </conditionalFormatting>
  <conditionalFormatting sqref="AU41:BG50">
    <cfRule type="expression" dxfId="74" priority="46">
      <formula>ROW(AU41)&lt;=Savings_max_row</formula>
    </cfRule>
  </conditionalFormatting>
  <conditionalFormatting sqref="AU6:BG7">
    <cfRule type="expression" dxfId="73" priority="43" stopIfTrue="1">
      <formula>AND($C$22=0, $C$37=0, $C$51=0)</formula>
    </cfRule>
    <cfRule type="expression" dxfId="72" priority="44" stopIfTrue="1">
      <formula>AU$7=0</formula>
    </cfRule>
    <cfRule type="expression" dxfId="71" priority="45">
      <formula>AU$7&lt;0</formula>
    </cfRule>
  </conditionalFormatting>
  <conditionalFormatting sqref="BI10:BU21">
    <cfRule type="expression" dxfId="70" priority="42">
      <formula>ROW(BI10)&lt;= income_max_row</formula>
    </cfRule>
  </conditionalFormatting>
  <conditionalFormatting sqref="BI26:BU36">
    <cfRule type="expression" dxfId="69" priority="41">
      <formula>ROW(BI26)&lt;= expenses_max_row</formula>
    </cfRule>
  </conditionalFormatting>
  <conditionalFormatting sqref="BI41:BU50">
    <cfRule type="expression" dxfId="68" priority="40">
      <formula>ROW(BI41)&lt;=Savings_max_row</formula>
    </cfRule>
  </conditionalFormatting>
  <conditionalFormatting sqref="BI6:BU7">
    <cfRule type="expression" dxfId="67" priority="37" stopIfTrue="1">
      <formula>AND($C$22=0, $C$37=0, $C$51=0)</formula>
    </cfRule>
    <cfRule type="expression" dxfId="66" priority="38" stopIfTrue="1">
      <formula>BI$7=0</formula>
    </cfRule>
    <cfRule type="expression" dxfId="65" priority="39">
      <formula>BI$7&lt;0</formula>
    </cfRule>
  </conditionalFormatting>
  <conditionalFormatting sqref="BW10:CI21">
    <cfRule type="expression" dxfId="64" priority="36">
      <formula>ROW(BW10)&lt;= income_max_row</formula>
    </cfRule>
  </conditionalFormatting>
  <conditionalFormatting sqref="BW26:CI36">
    <cfRule type="expression" dxfId="63" priority="35">
      <formula>ROW(BW26)&lt;= expenses_max_row</formula>
    </cfRule>
  </conditionalFormatting>
  <conditionalFormatting sqref="BW41:CI50">
    <cfRule type="expression" dxfId="62" priority="34">
      <formula>ROW(BW41)&lt;=Savings_max_row</formula>
    </cfRule>
  </conditionalFormatting>
  <conditionalFormatting sqref="BW6:CI7">
    <cfRule type="expression" dxfId="61" priority="31" stopIfTrue="1">
      <formula>AND($C$22=0, $C$37=0, $C$51=0)</formula>
    </cfRule>
    <cfRule type="expression" dxfId="60" priority="32" stopIfTrue="1">
      <formula>BW$7=0</formula>
    </cfRule>
    <cfRule type="expression" dxfId="59" priority="33">
      <formula>BW$7&lt;0</formula>
    </cfRule>
  </conditionalFormatting>
  <conditionalFormatting sqref="CK10:CW21">
    <cfRule type="expression" dxfId="58" priority="30">
      <formula>ROW(CK10)&lt;= income_max_row</formula>
    </cfRule>
  </conditionalFormatting>
  <conditionalFormatting sqref="CK26:CW36">
    <cfRule type="expression" dxfId="57" priority="29">
      <formula>ROW(CK26)&lt;= expenses_max_row</formula>
    </cfRule>
  </conditionalFormatting>
  <conditionalFormatting sqref="CK41:CW50">
    <cfRule type="expression" dxfId="56" priority="28">
      <formula>ROW(CK41)&lt;=Savings_max_row</formula>
    </cfRule>
  </conditionalFormatting>
  <conditionalFormatting sqref="CK6:CW7">
    <cfRule type="expression" dxfId="55" priority="25" stopIfTrue="1">
      <formula>AND($C$22=0, $C$37=0, $C$51=0)</formula>
    </cfRule>
    <cfRule type="expression" dxfId="54" priority="26" stopIfTrue="1">
      <formula>CK$7=0</formula>
    </cfRule>
    <cfRule type="expression" dxfId="53" priority="27">
      <formula>CK$7&lt;0</formula>
    </cfRule>
  </conditionalFormatting>
  <conditionalFormatting sqref="CY10:DK21">
    <cfRule type="expression" dxfId="52" priority="24">
      <formula>ROW(CY10)&lt;= income_max_row</formula>
    </cfRule>
  </conditionalFormatting>
  <conditionalFormatting sqref="CY26:DK36">
    <cfRule type="expression" dxfId="51" priority="23">
      <formula>ROW(CY26)&lt;= expenses_max_row</formula>
    </cfRule>
  </conditionalFormatting>
  <conditionalFormatting sqref="CY41:DK50">
    <cfRule type="expression" dxfId="50" priority="22">
      <formula>ROW(CY41)&lt;=Savings_max_row</formula>
    </cfRule>
  </conditionalFormatting>
  <conditionalFormatting sqref="CY6:DK7">
    <cfRule type="expression" dxfId="49" priority="19" stopIfTrue="1">
      <formula>AND($C$22=0, $C$37=0, $C$51=0)</formula>
    </cfRule>
    <cfRule type="expression" dxfId="48" priority="20" stopIfTrue="1">
      <formula>CY$7=0</formula>
    </cfRule>
    <cfRule type="expression" dxfId="47" priority="21">
      <formula>CY$7&lt;0</formula>
    </cfRule>
  </conditionalFormatting>
  <conditionalFormatting sqref="DM10:DY21">
    <cfRule type="expression" dxfId="46" priority="18">
      <formula>ROW(DM10)&lt;= income_max_row</formula>
    </cfRule>
  </conditionalFormatting>
  <conditionalFormatting sqref="DM26:DY36">
    <cfRule type="expression" dxfId="45" priority="17">
      <formula>ROW(DM26)&lt;= expenses_max_row</formula>
    </cfRule>
  </conditionalFormatting>
  <conditionalFormatting sqref="DM41:DY50">
    <cfRule type="expression" dxfId="44" priority="16">
      <formula>ROW(DM41)&lt;=Savings_max_row</formula>
    </cfRule>
  </conditionalFormatting>
  <conditionalFormatting sqref="DM6:DY7">
    <cfRule type="expression" dxfId="43" priority="13" stopIfTrue="1">
      <formula>AND($C$22=0, $C$37=0, $C$51=0)</formula>
    </cfRule>
    <cfRule type="expression" dxfId="42" priority="14" stopIfTrue="1">
      <formula>DM$7=0</formula>
    </cfRule>
    <cfRule type="expression" dxfId="41" priority="15">
      <formula>DM$7&lt;0</formula>
    </cfRule>
  </conditionalFormatting>
  <conditionalFormatting sqref="EA10:EM21">
    <cfRule type="expression" dxfId="40" priority="12">
      <formula>ROW(EA10)&lt;= income_max_row</formula>
    </cfRule>
  </conditionalFormatting>
  <conditionalFormatting sqref="EA26:EM36">
    <cfRule type="expression" dxfId="39" priority="11">
      <formula>ROW(EA26)&lt;= expenses_max_row</formula>
    </cfRule>
  </conditionalFormatting>
  <conditionalFormatting sqref="EA41:EM50">
    <cfRule type="expression" dxfId="38" priority="10">
      <formula>ROW(EA41)&lt;=Savings_max_row</formula>
    </cfRule>
  </conditionalFormatting>
  <conditionalFormatting sqref="EA6:EM7">
    <cfRule type="expression" dxfId="37" priority="7" stopIfTrue="1">
      <formula>AND($C$22=0, $C$37=0, $C$51=0)</formula>
    </cfRule>
    <cfRule type="expression" dxfId="36" priority="8" stopIfTrue="1">
      <formula>EA$7=0</formula>
    </cfRule>
    <cfRule type="expression" dxfId="35" priority="9">
      <formula>EA$7&lt;0</formula>
    </cfRule>
  </conditionalFormatting>
  <conditionalFormatting sqref="EO10:FA21">
    <cfRule type="expression" dxfId="34" priority="6">
      <formula>ROW(EO10)&lt;= income_max_row</formula>
    </cfRule>
  </conditionalFormatting>
  <conditionalFormatting sqref="EO26:FA36">
    <cfRule type="expression" dxfId="33" priority="5">
      <formula>ROW(EO26)&lt;= expenses_max_row</formula>
    </cfRule>
  </conditionalFormatting>
  <conditionalFormatting sqref="EO41:FA50">
    <cfRule type="expression" dxfId="32" priority="4">
      <formula>ROW(EO41)&lt;=Savings_max_row</formula>
    </cfRule>
  </conditionalFormatting>
  <conditionalFormatting sqref="EO6:FA7">
    <cfRule type="expression" dxfId="31" priority="1" stopIfTrue="1">
      <formula>AND($C$22=0, $C$37=0, $C$51=0)</formula>
    </cfRule>
    <cfRule type="expression" dxfId="30" priority="2" stopIfTrue="1">
      <formula>EO$7=0</formula>
    </cfRule>
    <cfRule type="expression" dxfId="29" priority="3">
      <formula>EO$7&lt;0</formula>
    </cfRule>
  </conditionalFormatting>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0"/>
  <sheetViews>
    <sheetView showGridLines="0" zoomScale="85" zoomScaleNormal="85" workbookViewId="0">
      <pane ySplit="11" topLeftCell="A12" activePane="bottomLeft" state="frozen"/>
      <selection pane="bottomLeft" activeCell="O8" sqref="O8"/>
    </sheetView>
  </sheetViews>
  <sheetFormatPr defaultRowHeight="15" x14ac:dyDescent="0.25"/>
  <cols>
    <col min="1" max="1" width="2.85546875" customWidth="1"/>
    <col min="2" max="3" width="14.28515625" customWidth="1"/>
    <col min="4" max="4" width="24.42578125" customWidth="1"/>
    <col min="5" max="5" width="25.140625" customWidth="1"/>
    <col min="6" max="6" width="7.85546875" customWidth="1"/>
    <col min="7" max="8" width="18.42578125" customWidth="1"/>
  </cols>
  <sheetData>
    <row r="1" spans="1:27" ht="7.5" customHeight="1" x14ac:dyDescent="0.25">
      <c r="A1" s="2"/>
      <c r="B1" s="2"/>
      <c r="C1" s="2"/>
      <c r="D1" s="2"/>
      <c r="E1" s="2"/>
      <c r="F1" s="2"/>
      <c r="G1" s="2"/>
      <c r="H1" s="2"/>
      <c r="I1" s="2"/>
      <c r="J1" s="2"/>
      <c r="K1" s="2"/>
      <c r="L1" s="2"/>
      <c r="M1" s="2"/>
      <c r="N1" s="2"/>
      <c r="O1" s="2"/>
      <c r="P1" s="2"/>
      <c r="Q1" s="2"/>
      <c r="R1" s="2"/>
      <c r="S1" s="2"/>
      <c r="T1" s="2"/>
      <c r="U1" s="2"/>
      <c r="V1" s="2"/>
      <c r="W1" s="2"/>
      <c r="X1" s="2"/>
      <c r="Y1" s="2"/>
      <c r="Z1" s="2"/>
      <c r="AA1" s="2"/>
    </row>
    <row r="2" spans="1:27" ht="21" customHeight="1" x14ac:dyDescent="0.35">
      <c r="A2" s="2"/>
      <c r="B2" s="4" t="s">
        <v>6</v>
      </c>
      <c r="C2" s="4"/>
      <c r="D2" s="2"/>
      <c r="E2" s="2"/>
      <c r="F2" s="2"/>
      <c r="G2" s="2"/>
      <c r="H2" s="2"/>
      <c r="I2" s="2"/>
      <c r="J2" s="2"/>
      <c r="K2" s="2"/>
      <c r="L2" s="2"/>
      <c r="M2" s="2"/>
      <c r="N2" s="2"/>
      <c r="O2" s="2"/>
      <c r="P2" s="2"/>
      <c r="Q2" s="2"/>
      <c r="R2" s="2"/>
      <c r="S2" s="2"/>
      <c r="T2" s="2"/>
      <c r="U2" s="2"/>
      <c r="V2" s="2"/>
      <c r="W2" s="2"/>
      <c r="X2" s="2"/>
      <c r="Y2" s="2"/>
      <c r="Z2" s="2"/>
      <c r="AA2" s="2"/>
    </row>
    <row r="3" spans="1:27" x14ac:dyDescent="0.25">
      <c r="A3" s="1"/>
      <c r="B3" s="1"/>
      <c r="C3" s="1"/>
      <c r="D3" s="1"/>
      <c r="E3" s="1"/>
      <c r="F3" s="1"/>
      <c r="G3" s="1"/>
      <c r="H3" s="1"/>
      <c r="I3" s="1"/>
      <c r="J3" s="1"/>
      <c r="K3" s="1"/>
      <c r="L3" s="1"/>
      <c r="M3" s="1"/>
      <c r="N3" s="1"/>
      <c r="O3" s="1"/>
      <c r="P3" s="1"/>
      <c r="Q3" s="1"/>
      <c r="R3" s="1"/>
      <c r="S3" s="1"/>
      <c r="T3" s="1"/>
      <c r="U3" s="1"/>
      <c r="V3" s="1"/>
      <c r="W3" s="1"/>
      <c r="X3" s="1"/>
      <c r="Y3" s="1"/>
      <c r="Z3" s="1"/>
      <c r="AA3" s="1"/>
    </row>
    <row r="5" spans="1:27" ht="12" customHeight="1" x14ac:dyDescent="0.25"/>
    <row r="11" spans="1:27" x14ac:dyDescent="0.25">
      <c r="B11" s="32" t="s">
        <v>38</v>
      </c>
      <c r="C11" s="32" t="s">
        <v>39</v>
      </c>
      <c r="D11" s="32" t="s">
        <v>40</v>
      </c>
      <c r="E11" s="32" t="s">
        <v>42</v>
      </c>
      <c r="F11" s="32" t="s">
        <v>41</v>
      </c>
      <c r="G11" s="42" t="s">
        <v>43</v>
      </c>
      <c r="H11" s="42" t="s">
        <v>44</v>
      </c>
    </row>
    <row r="12" spans="1:27" x14ac:dyDescent="0.25">
      <c r="B12" s="38">
        <v>44555</v>
      </c>
      <c r="C12" s="37" t="s">
        <v>11</v>
      </c>
      <c r="D12" s="37" t="s">
        <v>14</v>
      </c>
      <c r="E12" s="39">
        <v>3500</v>
      </c>
      <c r="F12" s="40"/>
      <c r="G12" s="41">
        <f>SUMPRODUCT(Tracking[Amount], --(Tracking[Date]&lt;=Tracking[[#This Row],[Date]]), (Tracking[Type]&lt;&gt;"Income")*(-1) + (Tracking[Type]="Income") )</f>
        <v>3500</v>
      </c>
      <c r="H12" s="51">
        <f>IF(AND(Tracking[[#This Row],[Type]]="Income", shift_late_income_status="Active", DAY(Tracking[[#This Row],[Date]])&gt;=shift_late_income_starting_day), DATE(YEAR(Tracking[[#This Row],[Date]]), MONTH(Tracking[[#This Row],[Date]])+1, 1), Tracking[[#This Row],[Date]])</f>
        <v>44562</v>
      </c>
      <c r="J12">
        <f>Tracking[Amount]</f>
        <v>3500</v>
      </c>
      <c r="K12" t="b">
        <f>Tracking[Type]="Income"</f>
        <v>1</v>
      </c>
      <c r="L12">
        <f>SUMPRODUCT(Tracking[Amount], (Tracking[Type]="Savings")*1)</f>
        <v>3090</v>
      </c>
    </row>
    <row r="13" spans="1:27" x14ac:dyDescent="0.25">
      <c r="B13" s="38">
        <v>44563</v>
      </c>
      <c r="C13" s="37" t="s">
        <v>17</v>
      </c>
      <c r="D13" s="37" t="s">
        <v>18</v>
      </c>
      <c r="E13" s="39">
        <v>1200</v>
      </c>
      <c r="F13" s="40"/>
      <c r="G13" s="41">
        <f>SUMPRODUCT(Tracking[Amount], --(Tracking[Date]&lt;=Tracking[[#This Row],[Date]]), (Tracking[Type]&lt;&gt;"Income")*(-1) + (Tracking[Type]="Income") )</f>
        <v>2300</v>
      </c>
      <c r="H13" s="51">
        <f>IF(AND(Tracking[[#This Row],[Type]]="Income", shift_late_income_status="Active", DAY(Tracking[[#This Row],[Date]])&gt;=shift_late_income_starting_day), DATE(YEAR(Tracking[[#This Row],[Date]]), MONTH(Tracking[[#This Row],[Date]])+1, 1), Tracking[[#This Row],[Date]])</f>
        <v>44563</v>
      </c>
      <c r="J13">
        <f>Tracking[Amount]</f>
        <v>1200</v>
      </c>
      <c r="K13" t="b">
        <f>Tracking[Type]="Income"</f>
        <v>0</v>
      </c>
      <c r="L13">
        <f>SUM( Tracking[Amount]*(Tracking[Type]="Income"))</f>
        <v>0</v>
      </c>
    </row>
    <row r="14" spans="1:27" x14ac:dyDescent="0.25">
      <c r="B14" s="38">
        <v>44564</v>
      </c>
      <c r="C14" s="37" t="s">
        <v>17</v>
      </c>
      <c r="D14" s="37" t="s">
        <v>30</v>
      </c>
      <c r="E14" s="39">
        <v>150</v>
      </c>
      <c r="F14" s="40"/>
      <c r="G14" s="41">
        <f>SUMPRODUCT(Tracking[Amount], --(Tracking[Date]&lt;=Tracking[[#This Row],[Date]]), (Tracking[Type]&lt;&gt;"Income")*(-1) + (Tracking[Type]="Income") )</f>
        <v>2150</v>
      </c>
      <c r="H14" s="51">
        <f>IF(AND(Tracking[[#This Row],[Type]]="Income", shift_late_income_status="Active", DAY(Tracking[[#This Row],[Date]])&gt;=shift_late_income_starting_day), DATE(YEAR(Tracking[[#This Row],[Date]]), MONTH(Tracking[[#This Row],[Date]])+1, 1), Tracking[[#This Row],[Date]])</f>
        <v>44564</v>
      </c>
      <c r="J14">
        <f>Tracking[Amount]</f>
        <v>150</v>
      </c>
      <c r="K14" t="b">
        <f>Tracking[Type]="Income"</f>
        <v>0</v>
      </c>
      <c r="L14">
        <f>SUM(Tracking[Amount]*(Tracking[Type]="Income"))</f>
        <v>0</v>
      </c>
    </row>
    <row r="15" spans="1:27" x14ac:dyDescent="0.25">
      <c r="B15" s="38">
        <v>44565</v>
      </c>
      <c r="C15" s="37" t="s">
        <v>22</v>
      </c>
      <c r="D15" s="37" t="s">
        <v>23</v>
      </c>
      <c r="E15" s="39">
        <v>1000</v>
      </c>
      <c r="F15" s="40"/>
      <c r="G15" s="41">
        <f>SUMPRODUCT(Tracking[Amount], --(Tracking[Date]&lt;=Tracking[[#This Row],[Date]]), (Tracking[Type]&lt;&gt;"Income")*(-1) + (Tracking[Type]="Income") )</f>
        <v>1150</v>
      </c>
      <c r="H15" s="51">
        <f>IF(AND(Tracking[[#This Row],[Type]]="Income", shift_late_income_status="Active", DAY(Tracking[[#This Row],[Date]])&gt;=shift_late_income_starting_day), DATE(YEAR(Tracking[[#This Row],[Date]]), MONTH(Tracking[[#This Row],[Date]])+1, 1), Tracking[[#This Row],[Date]])</f>
        <v>44565</v>
      </c>
      <c r="J15">
        <f>Tracking[Amount]</f>
        <v>1000</v>
      </c>
      <c r="K15" t="b">
        <f>Tracking[Type]="Income"</f>
        <v>0</v>
      </c>
      <c r="L15">
        <f>SUM(Tracking[Amount]*(Tracking[Type]="Income"))</f>
        <v>0</v>
      </c>
    </row>
    <row r="16" spans="1:27" x14ac:dyDescent="0.25">
      <c r="B16" s="38">
        <v>44566</v>
      </c>
      <c r="C16" s="37" t="s">
        <v>17</v>
      </c>
      <c r="D16" s="37" t="s">
        <v>19</v>
      </c>
      <c r="E16" s="39">
        <v>300</v>
      </c>
      <c r="F16" s="40"/>
      <c r="G16" s="41">
        <f>SUMPRODUCT(Tracking[Amount], --(Tracking[Date]&lt;=Tracking[[#This Row],[Date]]), (Tracking[Type]&lt;&gt;"Income")*(-1) + (Tracking[Type]="Income") )</f>
        <v>850</v>
      </c>
      <c r="H16" s="51">
        <f>IF(AND(Tracking[[#This Row],[Type]]="Income", shift_late_income_status="Active", DAY(Tracking[[#This Row],[Date]])&gt;=shift_late_income_starting_day), DATE(YEAR(Tracking[[#This Row],[Date]]), MONTH(Tracking[[#This Row],[Date]])+1, 1), Tracking[[#This Row],[Date]])</f>
        <v>44566</v>
      </c>
    </row>
    <row r="17" spans="2:8" x14ac:dyDescent="0.25">
      <c r="B17" s="38">
        <v>44568</v>
      </c>
      <c r="C17" s="37" t="s">
        <v>17</v>
      </c>
      <c r="D17" s="37" t="s">
        <v>20</v>
      </c>
      <c r="E17" s="39">
        <v>120</v>
      </c>
      <c r="F17" s="40"/>
      <c r="G17" s="41">
        <f>SUMPRODUCT(Tracking[Amount], --(Tracking[Date]&lt;=Tracking[[#This Row],[Date]]), (Tracking[Type]&lt;&gt;"Income")*(-1) + (Tracking[Type]="Income") )</f>
        <v>730</v>
      </c>
      <c r="H17" s="51">
        <f>IF(AND(Tracking[[#This Row],[Type]]="Income", shift_late_income_status="Active", DAY(Tracking[[#This Row],[Date]])&gt;=shift_late_income_starting_day), DATE(YEAR(Tracking[[#This Row],[Date]]), MONTH(Tracking[[#This Row],[Date]])+1, 1), Tracking[[#This Row],[Date]])</f>
        <v>44568</v>
      </c>
    </row>
    <row r="18" spans="2:8" x14ac:dyDescent="0.25">
      <c r="B18" s="38">
        <v>44570</v>
      </c>
      <c r="C18" s="37" t="s">
        <v>17</v>
      </c>
      <c r="D18" s="37" t="s">
        <v>28</v>
      </c>
      <c r="E18" s="39">
        <v>80</v>
      </c>
      <c r="F18" s="40"/>
      <c r="G18" s="41">
        <f>SUMPRODUCT(Tracking[Amount], --(Tracking[Date]&lt;=Tracking[[#This Row],[Date]]), (Tracking[Type]&lt;&gt;"Income")*(-1) + (Tracking[Type]="Income") )</f>
        <v>650</v>
      </c>
      <c r="H18" s="51">
        <f>IF(AND(Tracking[[#This Row],[Type]]="Income", shift_late_income_status="Active", DAY(Tracking[[#This Row],[Date]])&gt;=shift_late_income_starting_day), DATE(YEAR(Tracking[[#This Row],[Date]]), MONTH(Tracking[[#This Row],[Date]])+1, 1), Tracking[[#This Row],[Date]])</f>
        <v>44570</v>
      </c>
    </row>
    <row r="19" spans="2:8" x14ac:dyDescent="0.25">
      <c r="B19" s="38">
        <v>44571</v>
      </c>
      <c r="C19" s="37" t="s">
        <v>17</v>
      </c>
      <c r="D19" s="37" t="s">
        <v>33</v>
      </c>
      <c r="E19" s="39">
        <v>120</v>
      </c>
      <c r="F19" s="40"/>
      <c r="G19" s="41">
        <f>SUMPRODUCT(Tracking[Amount], --(Tracking[Date]&lt;=Tracking[[#This Row],[Date]]), (Tracking[Type]&lt;&gt;"Income")*(-1) + (Tracking[Type]="Income") )</f>
        <v>680</v>
      </c>
      <c r="H19" s="51">
        <f>IF(AND(Tracking[[#This Row],[Type]]="Income", shift_late_income_status="Active", DAY(Tracking[[#This Row],[Date]])&gt;=shift_late_income_starting_day), DATE(YEAR(Tracking[[#This Row],[Date]]), MONTH(Tracking[[#This Row],[Date]])+1, 1), Tracking[[#This Row],[Date]])</f>
        <v>44571</v>
      </c>
    </row>
    <row r="20" spans="2:8" x14ac:dyDescent="0.25">
      <c r="B20" s="38">
        <v>44571</v>
      </c>
      <c r="C20" s="37" t="s">
        <v>11</v>
      </c>
      <c r="D20" s="37" t="s">
        <v>16</v>
      </c>
      <c r="E20" s="39">
        <v>150</v>
      </c>
      <c r="F20" s="40"/>
      <c r="G20" s="41">
        <f>SUMPRODUCT(Tracking[Amount], --(Tracking[Date]&lt;=Tracking[[#This Row],[Date]]), (Tracking[Type]&lt;&gt;"Income")*(-1) + (Tracking[Type]="Income") )</f>
        <v>680</v>
      </c>
      <c r="H20" s="51">
        <f>IF(AND(Tracking[[#This Row],[Type]]="Income", shift_late_income_status="Active", DAY(Tracking[[#This Row],[Date]])&gt;=shift_late_income_starting_day), DATE(YEAR(Tracking[[#This Row],[Date]]), MONTH(Tracking[[#This Row],[Date]])+1, 1), Tracking[[#This Row],[Date]])</f>
        <v>44571</v>
      </c>
    </row>
    <row r="21" spans="2:8" x14ac:dyDescent="0.25">
      <c r="B21" s="38">
        <v>44573</v>
      </c>
      <c r="C21" s="37" t="s">
        <v>17</v>
      </c>
      <c r="D21" s="37" t="s">
        <v>32</v>
      </c>
      <c r="E21" s="39">
        <v>50</v>
      </c>
      <c r="F21" s="40"/>
      <c r="G21" s="41">
        <f>SUMPRODUCT(Tracking[Amount], --(Tracking[Date]&lt;=Tracking[[#This Row],[Date]]), (Tracking[Type]&lt;&gt;"Income")*(-1) + (Tracking[Type]="Income") )</f>
        <v>630</v>
      </c>
      <c r="H21" s="51">
        <f>IF(AND(Tracking[[#This Row],[Type]]="Income", shift_late_income_status="Active", DAY(Tracking[[#This Row],[Date]])&gt;=shift_late_income_starting_day), DATE(YEAR(Tracking[[#This Row],[Date]]), MONTH(Tracking[[#This Row],[Date]])+1, 1), Tracking[[#This Row],[Date]])</f>
        <v>44573</v>
      </c>
    </row>
    <row r="22" spans="2:8" x14ac:dyDescent="0.25">
      <c r="B22" s="38">
        <v>44574</v>
      </c>
      <c r="C22" s="37" t="s">
        <v>17</v>
      </c>
      <c r="D22" s="37" t="s">
        <v>31</v>
      </c>
      <c r="E22" s="39">
        <v>70</v>
      </c>
      <c r="F22" s="40"/>
      <c r="G22" s="41">
        <f>SUMPRODUCT(Tracking[Amount], --(Tracking[Date]&lt;=Tracking[[#This Row],[Date]]), (Tracking[Type]&lt;&gt;"Income")*(-1) + (Tracking[Type]="Income") )</f>
        <v>560</v>
      </c>
      <c r="H22" s="51">
        <f>IF(AND(Tracking[[#This Row],[Type]]="Income", shift_late_income_status="Active", DAY(Tracking[[#This Row],[Date]])&gt;=shift_late_income_starting_day), DATE(YEAR(Tracking[[#This Row],[Date]]), MONTH(Tracking[[#This Row],[Date]])+1, 1), Tracking[[#This Row],[Date]])</f>
        <v>44574</v>
      </c>
    </row>
    <row r="23" spans="2:8" x14ac:dyDescent="0.25">
      <c r="B23" s="38">
        <v>44575</v>
      </c>
      <c r="C23" s="37" t="s">
        <v>17</v>
      </c>
      <c r="D23" s="37" t="s">
        <v>20</v>
      </c>
      <c r="E23" s="39">
        <v>80</v>
      </c>
      <c r="F23" s="40"/>
      <c r="G23" s="41">
        <f>SUMPRODUCT(Tracking[Amount], --(Tracking[Date]&lt;=Tracking[[#This Row],[Date]]), (Tracking[Type]&lt;&gt;"Income")*(-1) + (Tracking[Type]="Income") )</f>
        <v>480</v>
      </c>
      <c r="H23" s="51">
        <f>IF(AND(Tracking[[#This Row],[Type]]="Income", shift_late_income_status="Active", DAY(Tracking[[#This Row],[Date]])&gt;=shift_late_income_starting_day), DATE(YEAR(Tracking[[#This Row],[Date]]), MONTH(Tracking[[#This Row],[Date]])+1, 1), Tracking[[#This Row],[Date]])</f>
        <v>44575</v>
      </c>
    </row>
    <row r="24" spans="2:8" x14ac:dyDescent="0.25">
      <c r="B24" s="38">
        <v>44576</v>
      </c>
      <c r="C24" s="37" t="s">
        <v>11</v>
      </c>
      <c r="D24" s="37" t="s">
        <v>15</v>
      </c>
      <c r="E24" s="39">
        <v>1200</v>
      </c>
      <c r="F24" s="40"/>
      <c r="G24" s="41">
        <f>SUMPRODUCT(Tracking[Amount], --(Tracking[Date]&lt;=Tracking[[#This Row],[Date]]), (Tracking[Type]&lt;&gt;"Income")*(-1) + (Tracking[Type]="Income") )</f>
        <v>1680</v>
      </c>
      <c r="H24" s="51">
        <f>IF(AND(Tracking[[#This Row],[Type]]="Income", shift_late_income_status="Active", DAY(Tracking[[#This Row],[Date]])&gt;=shift_late_income_starting_day), DATE(YEAR(Tracking[[#This Row],[Date]]), MONTH(Tracking[[#This Row],[Date]])+1, 1), Tracking[[#This Row],[Date]])</f>
        <v>44576</v>
      </c>
    </row>
    <row r="25" spans="2:8" x14ac:dyDescent="0.25">
      <c r="B25" s="38">
        <v>44578</v>
      </c>
      <c r="C25" s="37" t="s">
        <v>17</v>
      </c>
      <c r="D25" s="37" t="s">
        <v>33</v>
      </c>
      <c r="E25" s="39">
        <v>100</v>
      </c>
      <c r="F25" s="40"/>
      <c r="G25" s="41">
        <f>SUMPRODUCT(Tracking[Amount], --(Tracking[Date]&lt;=Tracking[[#This Row],[Date]]), (Tracking[Type]&lt;&gt;"Income")*(-1) + (Tracking[Type]="Income") )</f>
        <v>1580</v>
      </c>
      <c r="H25" s="51">
        <f>IF(AND(Tracking[[#This Row],[Type]]="Income", shift_late_income_status="Active", DAY(Tracking[[#This Row],[Date]])&gt;=shift_late_income_starting_day), DATE(YEAR(Tracking[[#This Row],[Date]]), MONTH(Tracking[[#This Row],[Date]])+1, 1), Tracking[[#This Row],[Date]])</f>
        <v>44578</v>
      </c>
    </row>
    <row r="26" spans="2:8" x14ac:dyDescent="0.25">
      <c r="B26" s="38">
        <v>44579</v>
      </c>
      <c r="C26" s="37" t="s">
        <v>17</v>
      </c>
      <c r="D26" s="37" t="s">
        <v>30</v>
      </c>
      <c r="E26" s="39">
        <v>70</v>
      </c>
      <c r="F26" s="40"/>
      <c r="G26" s="41">
        <f>SUMPRODUCT(Tracking[Amount], --(Tracking[Date]&lt;=Tracking[[#This Row],[Date]]), (Tracking[Type]&lt;&gt;"Income")*(-1) + (Tracking[Type]="Income") )</f>
        <v>1510</v>
      </c>
      <c r="H26" s="51">
        <f>IF(AND(Tracking[[#This Row],[Type]]="Income", shift_late_income_status="Active", DAY(Tracking[[#This Row],[Date]])&gt;=shift_late_income_starting_day), DATE(YEAR(Tracking[[#This Row],[Date]]), MONTH(Tracking[[#This Row],[Date]])+1, 1), Tracking[[#This Row],[Date]])</f>
        <v>44579</v>
      </c>
    </row>
    <row r="27" spans="2:8" x14ac:dyDescent="0.25">
      <c r="B27" s="38">
        <v>44580</v>
      </c>
      <c r="C27" s="37" t="s">
        <v>17</v>
      </c>
      <c r="D27" s="37" t="s">
        <v>31</v>
      </c>
      <c r="E27" s="39">
        <v>60</v>
      </c>
      <c r="F27" s="40"/>
      <c r="G27" s="41">
        <f>SUMPRODUCT(Tracking[Amount], --(Tracking[Date]&lt;=Tracking[[#This Row],[Date]]), (Tracking[Type]&lt;&gt;"Income")*(-1) + (Tracking[Type]="Income") )</f>
        <v>1450</v>
      </c>
      <c r="H27" s="51">
        <f>IF(AND(Tracking[[#This Row],[Type]]="Income", shift_late_income_status="Active", DAY(Tracking[[#This Row],[Date]])&gt;=shift_late_income_starting_day), DATE(YEAR(Tracking[[#This Row],[Date]]), MONTH(Tracking[[#This Row],[Date]])+1, 1), Tracking[[#This Row],[Date]])</f>
        <v>44580</v>
      </c>
    </row>
    <row r="28" spans="2:8" x14ac:dyDescent="0.25">
      <c r="B28" s="38">
        <v>44582</v>
      </c>
      <c r="C28" s="37" t="s">
        <v>17</v>
      </c>
      <c r="D28" s="37" t="s">
        <v>33</v>
      </c>
      <c r="E28" s="39">
        <v>30</v>
      </c>
      <c r="F28" s="40"/>
      <c r="G28" s="41">
        <f>SUMPRODUCT(Tracking[Amount], --(Tracking[Date]&lt;=Tracking[[#This Row],[Date]]), (Tracking[Type]&lt;&gt;"Income")*(-1) + (Tracking[Type]="Income") )</f>
        <v>1420</v>
      </c>
      <c r="H28" s="51">
        <f>IF(AND(Tracking[[#This Row],[Type]]="Income", shift_late_income_status="Active", DAY(Tracking[[#This Row],[Date]])&gt;=shift_late_income_starting_day), DATE(YEAR(Tracking[[#This Row],[Date]]), MONTH(Tracking[[#This Row],[Date]])+1, 1), Tracking[[#This Row],[Date]])</f>
        <v>44582</v>
      </c>
    </row>
    <row r="29" spans="2:8" x14ac:dyDescent="0.25">
      <c r="B29" s="38">
        <v>44583</v>
      </c>
      <c r="C29" s="37" t="s">
        <v>17</v>
      </c>
      <c r="D29" s="37" t="s">
        <v>28</v>
      </c>
      <c r="E29" s="39">
        <v>100</v>
      </c>
      <c r="F29" s="40"/>
      <c r="G29" s="41">
        <f>SUMPRODUCT(Tracking[Amount], --(Tracking[Date]&lt;=Tracking[[#This Row],[Date]]), (Tracking[Type]&lt;&gt;"Income")*(-1) + (Tracking[Type]="Income") )</f>
        <v>1320</v>
      </c>
      <c r="H29" s="51">
        <f>IF(AND(Tracking[[#This Row],[Type]]="Income", shift_late_income_status="Active", DAY(Tracking[[#This Row],[Date]])&gt;=shift_late_income_starting_day), DATE(YEAR(Tracking[[#This Row],[Date]]), MONTH(Tracking[[#This Row],[Date]])+1, 1), Tracking[[#This Row],[Date]])</f>
        <v>44583</v>
      </c>
    </row>
    <row r="30" spans="2:8" x14ac:dyDescent="0.25">
      <c r="B30" s="38">
        <v>44585</v>
      </c>
      <c r="C30" s="37" t="s">
        <v>17</v>
      </c>
      <c r="D30" s="37" t="s">
        <v>31</v>
      </c>
      <c r="E30" s="39">
        <v>40</v>
      </c>
      <c r="F30" s="40"/>
      <c r="G30" s="41">
        <f>SUMPRODUCT(Tracking[Amount], --(Tracking[Date]&lt;=Tracking[[#This Row],[Date]]), (Tracking[Type]&lt;&gt;"Income")*(-1) + (Tracking[Type]="Income") )</f>
        <v>1280</v>
      </c>
      <c r="H30" s="51">
        <f>IF(AND(Tracking[[#This Row],[Type]]="Income", shift_late_income_status="Active", DAY(Tracking[[#This Row],[Date]])&gt;=shift_late_income_starting_day), DATE(YEAR(Tracking[[#This Row],[Date]]), MONTH(Tracking[[#This Row],[Date]])+1, 1), Tracking[[#This Row],[Date]])</f>
        <v>44585</v>
      </c>
    </row>
    <row r="31" spans="2:8" x14ac:dyDescent="0.25">
      <c r="B31" s="38">
        <v>44586</v>
      </c>
      <c r="C31" s="37" t="s">
        <v>11</v>
      </c>
      <c r="D31" s="37" t="s">
        <v>14</v>
      </c>
      <c r="E31" s="39">
        <v>3500</v>
      </c>
      <c r="F31" s="40"/>
      <c r="G31" s="41">
        <f>SUMPRODUCT(Tracking[Amount], --(Tracking[Date]&lt;=Tracking[[#This Row],[Date]]), (Tracking[Type]&lt;&gt;"Income")*(-1) + (Tracking[Type]="Income") )</f>
        <v>4780</v>
      </c>
      <c r="H31" s="51">
        <f>IF(AND(Tracking[[#This Row],[Type]]="Income", shift_late_income_status="Active", DAY(Tracking[[#This Row],[Date]])&gt;=shift_late_income_starting_day), DATE(YEAR(Tracking[[#This Row],[Date]]), MONTH(Tracking[[#This Row],[Date]])+1, 1), Tracking[[#This Row],[Date]])</f>
        <v>44593</v>
      </c>
    </row>
    <row r="32" spans="2:8" x14ac:dyDescent="0.25">
      <c r="B32" s="38">
        <v>44587</v>
      </c>
      <c r="C32" s="37" t="s">
        <v>17</v>
      </c>
      <c r="D32" s="37" t="s">
        <v>20</v>
      </c>
      <c r="E32" s="39">
        <v>120</v>
      </c>
      <c r="F32" s="40"/>
      <c r="G32" s="41">
        <f>SUMPRODUCT(Tracking[Amount], --(Tracking[Date]&lt;=Tracking[[#This Row],[Date]]), (Tracking[Type]&lt;&gt;"Income")*(-1) + (Tracking[Type]="Income") )</f>
        <v>4660</v>
      </c>
      <c r="H32" s="51">
        <f>IF(AND(Tracking[[#This Row],[Type]]="Income", shift_late_income_status="Active", DAY(Tracking[[#This Row],[Date]])&gt;=shift_late_income_starting_day), DATE(YEAR(Tracking[[#This Row],[Date]]), MONTH(Tracking[[#This Row],[Date]])+1, 1), Tracking[[#This Row],[Date]])</f>
        <v>44587</v>
      </c>
    </row>
    <row r="33" spans="2:8" x14ac:dyDescent="0.25">
      <c r="B33" s="38">
        <v>44589</v>
      </c>
      <c r="C33" s="37" t="s">
        <v>17</v>
      </c>
      <c r="D33" s="37" t="s">
        <v>33</v>
      </c>
      <c r="E33" s="39">
        <v>110</v>
      </c>
      <c r="F33" s="40"/>
      <c r="G33" s="41">
        <f>SUMPRODUCT(Tracking[Amount], --(Tracking[Date]&lt;=Tracking[[#This Row],[Date]]), (Tracking[Type]&lt;&gt;"Income")*(-1) + (Tracking[Type]="Income") )</f>
        <v>4550</v>
      </c>
      <c r="H33" s="51">
        <f>IF(AND(Tracking[[#This Row],[Type]]="Income", shift_late_income_status="Active", DAY(Tracking[[#This Row],[Date]])&gt;=shift_late_income_starting_day), DATE(YEAR(Tracking[[#This Row],[Date]]), MONTH(Tracking[[#This Row],[Date]])+1, 1), Tracking[[#This Row],[Date]])</f>
        <v>44589</v>
      </c>
    </row>
    <row r="34" spans="2:8" x14ac:dyDescent="0.25">
      <c r="B34" s="38">
        <v>44592</v>
      </c>
      <c r="C34" s="37" t="s">
        <v>22</v>
      </c>
      <c r="D34" s="37" t="s">
        <v>24</v>
      </c>
      <c r="E34" s="39">
        <v>400</v>
      </c>
      <c r="F34" s="40"/>
      <c r="G34" s="41">
        <f>SUMPRODUCT(Tracking[Amount], --(Tracking[Date]&lt;=Tracking[[#This Row],[Date]]), (Tracking[Type]&lt;&gt;"Income")*(-1) + (Tracking[Type]="Income") )</f>
        <v>3500</v>
      </c>
      <c r="H34" s="51">
        <f>IF(AND(Tracking[[#This Row],[Type]]="Income", shift_late_income_status="Active", DAY(Tracking[[#This Row],[Date]])&gt;=shift_late_income_starting_day), DATE(YEAR(Tracking[[#This Row],[Date]]), MONTH(Tracking[[#This Row],[Date]])+1, 1), Tracking[[#This Row],[Date]])</f>
        <v>44592</v>
      </c>
    </row>
    <row r="35" spans="2:8" x14ac:dyDescent="0.25">
      <c r="B35" s="38">
        <v>44592</v>
      </c>
      <c r="C35" s="37" t="s">
        <v>22</v>
      </c>
      <c r="D35" s="37" t="s">
        <v>25</v>
      </c>
      <c r="E35" s="39">
        <v>250</v>
      </c>
      <c r="F35" s="40"/>
      <c r="G35" s="41">
        <f>SUMPRODUCT(Tracking[Amount], --(Tracking[Date]&lt;=Tracking[[#This Row],[Date]]), (Tracking[Type]&lt;&gt;"Income")*(-1) + (Tracking[Type]="Income") )</f>
        <v>3500</v>
      </c>
      <c r="H35" s="51">
        <f>IF(AND(Tracking[[#This Row],[Type]]="Income", shift_late_income_status="Active", DAY(Tracking[[#This Row],[Date]])&gt;=shift_late_income_starting_day), DATE(YEAR(Tracking[[#This Row],[Date]]), MONTH(Tracking[[#This Row],[Date]])+1, 1), Tracking[[#This Row],[Date]])</f>
        <v>44592</v>
      </c>
    </row>
    <row r="36" spans="2:8" x14ac:dyDescent="0.25">
      <c r="B36" s="38">
        <v>44592</v>
      </c>
      <c r="C36" s="37" t="s">
        <v>22</v>
      </c>
      <c r="D36" s="37" t="s">
        <v>36</v>
      </c>
      <c r="E36" s="39">
        <v>400</v>
      </c>
      <c r="F36" s="40"/>
      <c r="G36" s="41">
        <f>SUMPRODUCT(Tracking[Amount], --(Tracking[Date]&lt;=Tracking[[#This Row],[Date]]), (Tracking[Type]&lt;&gt;"Income")*(-1) + (Tracking[Type]="Income") )</f>
        <v>3500</v>
      </c>
      <c r="H36" s="51">
        <f>IF(AND(Tracking[[#This Row],[Type]]="Income", shift_late_income_status="Active", DAY(Tracking[[#This Row],[Date]])&gt;=shift_late_income_starting_day), DATE(YEAR(Tracking[[#This Row],[Date]]), MONTH(Tracking[[#This Row],[Date]])+1, 1), Tracking[[#This Row],[Date]])</f>
        <v>44592</v>
      </c>
    </row>
    <row r="37" spans="2:8" x14ac:dyDescent="0.25">
      <c r="B37" s="38">
        <v>44593</v>
      </c>
      <c r="C37" s="37" t="s">
        <v>17</v>
      </c>
      <c r="D37" s="37" t="s">
        <v>18</v>
      </c>
      <c r="E37" s="39">
        <v>1200</v>
      </c>
      <c r="F37" s="40"/>
      <c r="G37" s="41">
        <f>SUMPRODUCT(Tracking[Amount], --(Tracking[Date]&lt;=Tracking[[#This Row],[Date]]), (Tracking[Type]&lt;&gt;"Income")*(-1) + (Tracking[Type]="Income") )</f>
        <v>2300</v>
      </c>
      <c r="H37" s="51">
        <f>IF(AND(Tracking[[#This Row],[Type]]="Income", shift_late_income_status="Active", DAY(Tracking[[#This Row],[Date]])&gt;=shift_late_income_starting_day), DATE(YEAR(Tracking[[#This Row],[Date]]), MONTH(Tracking[[#This Row],[Date]])+1, 1), Tracking[[#This Row],[Date]])</f>
        <v>44593</v>
      </c>
    </row>
    <row r="38" spans="2:8" x14ac:dyDescent="0.25">
      <c r="B38" s="38">
        <v>44594</v>
      </c>
      <c r="C38" s="37" t="s">
        <v>17</v>
      </c>
      <c r="D38" s="37" t="s">
        <v>19</v>
      </c>
      <c r="E38" s="39">
        <v>300</v>
      </c>
      <c r="F38" s="40"/>
      <c r="G38" s="41">
        <f>SUMPRODUCT(Tracking[Amount], --(Tracking[Date]&lt;=Tracking[[#This Row],[Date]]), (Tracking[Type]&lt;&gt;"Income")*(-1) + (Tracking[Type]="Income") )</f>
        <v>2000</v>
      </c>
      <c r="H38" s="51">
        <f>IF(AND(Tracking[[#This Row],[Type]]="Income", shift_late_income_status="Active", DAY(Tracking[[#This Row],[Date]])&gt;=shift_late_income_starting_day), DATE(YEAR(Tracking[[#This Row],[Date]]), MONTH(Tracking[[#This Row],[Date]])+1, 1), Tracking[[#This Row],[Date]])</f>
        <v>44594</v>
      </c>
    </row>
    <row r="39" spans="2:8" x14ac:dyDescent="0.25">
      <c r="B39" s="66">
        <v>44597</v>
      </c>
      <c r="C39" s="67" t="s">
        <v>11</v>
      </c>
      <c r="D39" s="67" t="s">
        <v>15</v>
      </c>
      <c r="E39" s="68">
        <v>500</v>
      </c>
      <c r="F39" s="69"/>
      <c r="G39" s="70">
        <f>SUMPRODUCT(Tracking[Amount], --(Tracking[Date]&lt;=Tracking[[#This Row],[Date]]), (Tracking[Type]&lt;&gt;"Income")*(-1) + (Tracking[Type]="Income") )</f>
        <v>2500</v>
      </c>
      <c r="H39" s="71">
        <f>IF(AND(Tracking[[#This Row],[Type]]="Income", shift_late_income_status="Active", DAY(Tracking[[#This Row],[Date]])&gt;=shift_late_income_starting_day), DATE(YEAR(Tracking[[#This Row],[Date]]), MONTH(Tracking[[#This Row],[Date]])+1, 1), Tracking[[#This Row],[Date]])</f>
        <v>44597</v>
      </c>
    </row>
    <row r="40" spans="2:8" x14ac:dyDescent="0.25">
      <c r="B40" s="66">
        <v>44599</v>
      </c>
      <c r="C40" s="67" t="s">
        <v>17</v>
      </c>
      <c r="D40" s="67" t="s">
        <v>20</v>
      </c>
      <c r="E40" s="68">
        <v>200</v>
      </c>
      <c r="F40" s="69"/>
      <c r="G40" s="70">
        <f>SUMPRODUCT(Tracking[Amount], --(Tracking[Date]&lt;=Tracking[[#This Row],[Date]]), (Tracking[Type]&lt;&gt;"Income")*(-1) + (Tracking[Type]="Income") )</f>
        <v>2300</v>
      </c>
      <c r="H40" s="71">
        <f>IF(AND(Tracking[[#This Row],[Type]]="Income", shift_late_income_status="Active", DAY(Tracking[[#This Row],[Date]])&gt;=shift_late_income_starting_day), DATE(YEAR(Tracking[[#This Row],[Date]]), MONTH(Tracking[[#This Row],[Date]])+1, 1), Tracking[[#This Row],[Date]])</f>
        <v>44599</v>
      </c>
    </row>
    <row r="41" spans="2:8" x14ac:dyDescent="0.25">
      <c r="B41" s="66">
        <v>44600</v>
      </c>
      <c r="C41" s="67" t="s">
        <v>17</v>
      </c>
      <c r="D41" s="67" t="s">
        <v>28</v>
      </c>
      <c r="E41" s="68">
        <v>100</v>
      </c>
      <c r="F41" s="69"/>
      <c r="G41" s="70">
        <f>SUMPRODUCT(Tracking[Amount], --(Tracking[Date]&lt;=Tracking[[#This Row],[Date]]), (Tracking[Type]&lt;&gt;"Income")*(-1) + (Tracking[Type]="Income") )</f>
        <v>2200</v>
      </c>
      <c r="H41" s="71">
        <f>IF(AND(Tracking[[#This Row],[Type]]="Income", shift_late_income_status="Active", DAY(Tracking[[#This Row],[Date]])&gt;=shift_late_income_starting_day), DATE(YEAR(Tracking[[#This Row],[Date]]), MONTH(Tracking[[#This Row],[Date]])+1, 1), Tracking[[#This Row],[Date]])</f>
        <v>44600</v>
      </c>
    </row>
    <row r="42" spans="2:8" x14ac:dyDescent="0.25">
      <c r="B42" s="66">
        <v>44601</v>
      </c>
      <c r="C42" s="67" t="s">
        <v>22</v>
      </c>
      <c r="D42" s="67" t="s">
        <v>25</v>
      </c>
      <c r="E42" s="68">
        <v>500</v>
      </c>
      <c r="F42" s="69"/>
      <c r="G42" s="70">
        <f>SUMPRODUCT(Tracking[Amount], --(Tracking[Date]&lt;=Tracking[[#This Row],[Date]]), (Tracking[Type]&lt;&gt;"Income")*(-1) + (Tracking[Type]="Income") )</f>
        <v>1700</v>
      </c>
      <c r="H42" s="71">
        <f>IF(AND(Tracking[[#This Row],[Type]]="Income", shift_late_income_status="Active", DAY(Tracking[[#This Row],[Date]])&gt;=shift_late_income_starting_day), DATE(YEAR(Tracking[[#This Row],[Date]]), MONTH(Tracking[[#This Row],[Date]])+1, 1), Tracking[[#This Row],[Date]])</f>
        <v>44601</v>
      </c>
    </row>
    <row r="43" spans="2:8" x14ac:dyDescent="0.25">
      <c r="B43" s="38">
        <v>44602</v>
      </c>
      <c r="C43" s="37" t="s">
        <v>17</v>
      </c>
      <c r="D43" s="37" t="s">
        <v>30</v>
      </c>
      <c r="E43" s="39">
        <v>60</v>
      </c>
      <c r="F43" s="40"/>
      <c r="G43" s="41">
        <f>SUMPRODUCT(Tracking[Amount], --(Tracking[Date]&lt;=Tracking[[#This Row],[Date]]), (Tracking[Type]&lt;&gt;"Income")*(-1) + (Tracking[Type]="Income") )</f>
        <v>1640</v>
      </c>
      <c r="H43" s="51">
        <f>IF(AND(Tracking[[#This Row],[Type]]="Income", shift_late_income_status="Active", DAY(Tracking[[#This Row],[Date]])&gt;=shift_late_income_starting_day), DATE(YEAR(Tracking[[#This Row],[Date]]), MONTH(Tracking[[#This Row],[Date]])+1, 1), Tracking[[#This Row],[Date]])</f>
        <v>44602</v>
      </c>
    </row>
    <row r="44" spans="2:8" x14ac:dyDescent="0.25">
      <c r="B44" s="38">
        <v>44603</v>
      </c>
      <c r="C44" s="37" t="s">
        <v>17</v>
      </c>
      <c r="D44" s="37" t="s">
        <v>31</v>
      </c>
      <c r="E44" s="39">
        <v>70</v>
      </c>
      <c r="F44" s="40"/>
      <c r="G44" s="41">
        <f>SUMPRODUCT(Tracking[Amount], --(Tracking[Date]&lt;=Tracking[[#This Row],[Date]]), (Tracking[Type]&lt;&gt;"Income")*(-1) + (Tracking[Type]="Income") )</f>
        <v>1570</v>
      </c>
      <c r="H44" s="51">
        <f>IF(AND(Tracking[[#This Row],[Type]]="Income", shift_late_income_status="Active", DAY(Tracking[[#This Row],[Date]])&gt;=shift_late_income_starting_day), DATE(YEAR(Tracking[[#This Row],[Date]]), MONTH(Tracking[[#This Row],[Date]])+1, 1), Tracking[[#This Row],[Date]])</f>
        <v>44603</v>
      </c>
    </row>
    <row r="45" spans="2:8" x14ac:dyDescent="0.25">
      <c r="B45" s="38">
        <v>44605</v>
      </c>
      <c r="C45" s="37" t="s">
        <v>17</v>
      </c>
      <c r="D45" s="37" t="s">
        <v>33</v>
      </c>
      <c r="E45" s="39">
        <v>140</v>
      </c>
      <c r="F45" s="40"/>
      <c r="G45" s="41">
        <f>SUMPRODUCT(Tracking[Amount], --(Tracking[Date]&lt;=Tracking[[#This Row],[Date]]), (Tracking[Type]&lt;&gt;"Income")*(-1) + (Tracking[Type]="Income") )</f>
        <v>1430</v>
      </c>
      <c r="H45" s="51">
        <f>IF(AND(Tracking[[#This Row],[Type]]="Income", shift_late_income_status="Active", DAY(Tracking[[#This Row],[Date]])&gt;=shift_late_income_starting_day), DATE(YEAR(Tracking[[#This Row],[Date]]), MONTH(Tracking[[#This Row],[Date]])+1, 1), Tracking[[#This Row],[Date]])</f>
        <v>44605</v>
      </c>
    </row>
    <row r="46" spans="2:8" x14ac:dyDescent="0.25">
      <c r="B46" s="38">
        <v>44606</v>
      </c>
      <c r="C46" s="37" t="s">
        <v>17</v>
      </c>
      <c r="D46" s="37" t="s">
        <v>20</v>
      </c>
      <c r="E46" s="39">
        <v>80</v>
      </c>
      <c r="F46" s="40"/>
      <c r="G46" s="41">
        <f>SUMPRODUCT(Tracking[Amount], --(Tracking[Date]&lt;=Tracking[[#This Row],[Date]]), (Tracking[Type]&lt;&gt;"Income")*(-1) + (Tracking[Type]="Income") )</f>
        <v>1350</v>
      </c>
      <c r="H46" s="51">
        <f>IF(AND(Tracking[[#This Row],[Type]]="Income", shift_late_income_status="Active", DAY(Tracking[[#This Row],[Date]])&gt;=shift_late_income_starting_day), DATE(YEAR(Tracking[[#This Row],[Date]]), MONTH(Tracking[[#This Row],[Date]])+1, 1), Tracking[[#This Row],[Date]])</f>
        <v>44606</v>
      </c>
    </row>
    <row r="47" spans="2:8" x14ac:dyDescent="0.25">
      <c r="B47" s="38">
        <v>44607</v>
      </c>
      <c r="C47" s="37" t="s">
        <v>11</v>
      </c>
      <c r="D47" s="37" t="s">
        <v>16</v>
      </c>
      <c r="E47" s="39">
        <v>50</v>
      </c>
      <c r="F47" s="40"/>
      <c r="G47" s="41">
        <f>SUMPRODUCT(Tracking[Amount], --(Tracking[Date]&lt;=Tracking[[#This Row],[Date]]), (Tracking[Type]&lt;&gt;"Income")*(-1) + (Tracking[Type]="Income") )</f>
        <v>1400</v>
      </c>
      <c r="H47" s="51">
        <f>IF(AND(Tracking[[#This Row],[Type]]="Income", shift_late_income_status="Active", DAY(Tracking[[#This Row],[Date]])&gt;=shift_late_income_starting_day), DATE(YEAR(Tracking[[#This Row],[Date]]), MONTH(Tracking[[#This Row],[Date]])+1, 1), Tracking[[#This Row],[Date]])</f>
        <v>44607</v>
      </c>
    </row>
    <row r="48" spans="2:8" x14ac:dyDescent="0.25">
      <c r="B48" s="38">
        <v>44608</v>
      </c>
      <c r="C48" s="37" t="s">
        <v>17</v>
      </c>
      <c r="D48" s="37" t="s">
        <v>32</v>
      </c>
      <c r="E48" s="39">
        <v>70</v>
      </c>
      <c r="F48" s="40"/>
      <c r="G48" s="41">
        <f>SUMPRODUCT(Tracking[Amount], --(Tracking[Date]&lt;=Tracking[[#This Row],[Date]]), (Tracking[Type]&lt;&gt;"Income")*(-1) + (Tracking[Type]="Income") )</f>
        <v>1330</v>
      </c>
      <c r="H48" s="51">
        <f>IF(AND(Tracking[[#This Row],[Type]]="Income", shift_late_income_status="Active", DAY(Tracking[[#This Row],[Date]])&gt;=shift_late_income_starting_day), DATE(YEAR(Tracking[[#This Row],[Date]]), MONTH(Tracking[[#This Row],[Date]])+1, 1), Tracking[[#This Row],[Date]])</f>
        <v>44608</v>
      </c>
    </row>
    <row r="49" spans="2:8" x14ac:dyDescent="0.25">
      <c r="B49" s="38">
        <v>44609</v>
      </c>
      <c r="C49" s="37" t="s">
        <v>17</v>
      </c>
      <c r="D49" s="37" t="s">
        <v>28</v>
      </c>
      <c r="E49" s="39">
        <v>150</v>
      </c>
      <c r="F49" s="40"/>
      <c r="G49" s="41">
        <f>SUMPRODUCT(Tracking[Amount], --(Tracking[Date]&lt;=Tracking[[#This Row],[Date]]), (Tracking[Type]&lt;&gt;"Income")*(-1) + (Tracking[Type]="Income") )</f>
        <v>1180</v>
      </c>
      <c r="H49" s="51">
        <f>IF(AND(Tracking[[#This Row],[Type]]="Income", shift_late_income_status="Active", DAY(Tracking[[#This Row],[Date]])&gt;=shift_late_income_starting_day), DATE(YEAR(Tracking[[#This Row],[Date]]), MONTH(Tracking[[#This Row],[Date]])+1, 1), Tracking[[#This Row],[Date]])</f>
        <v>44609</v>
      </c>
    </row>
    <row r="50" spans="2:8" x14ac:dyDescent="0.25">
      <c r="B50" s="38">
        <v>44610</v>
      </c>
      <c r="C50" s="37" t="s">
        <v>17</v>
      </c>
      <c r="D50" s="37" t="s">
        <v>33</v>
      </c>
      <c r="E50" s="39">
        <v>60</v>
      </c>
      <c r="F50" s="40"/>
      <c r="G50" s="41">
        <f>SUMPRODUCT(Tracking[Amount], --(Tracking[Date]&lt;=Tracking[[#This Row],[Date]]), (Tracking[Type]&lt;&gt;"Income")*(-1) + (Tracking[Type]="Income") )</f>
        <v>1120</v>
      </c>
      <c r="H50" s="51">
        <f>IF(AND(Tracking[[#This Row],[Type]]="Income", shift_late_income_status="Active", DAY(Tracking[[#This Row],[Date]])&gt;=shift_late_income_starting_day), DATE(YEAR(Tracking[[#This Row],[Date]]), MONTH(Tracking[[#This Row],[Date]])+1, 1), Tracking[[#This Row],[Date]])</f>
        <v>44610</v>
      </c>
    </row>
    <row r="51" spans="2:8" x14ac:dyDescent="0.25">
      <c r="B51" s="38">
        <v>44612</v>
      </c>
      <c r="C51" s="37" t="s">
        <v>17</v>
      </c>
      <c r="D51" s="37" t="s">
        <v>31</v>
      </c>
      <c r="E51" s="39">
        <v>140</v>
      </c>
      <c r="F51" s="40"/>
      <c r="G51" s="41">
        <f>SUMPRODUCT(Tracking[Amount], --(Tracking[Date]&lt;=Tracking[[#This Row],[Date]]), (Tracking[Type]&lt;&gt;"Income")*(-1) + (Tracking[Type]="Income") )</f>
        <v>980</v>
      </c>
      <c r="H51" s="51">
        <f>IF(AND(Tracking[[#This Row],[Type]]="Income", shift_late_income_status="Active", DAY(Tracking[[#This Row],[Date]])&gt;=shift_late_income_starting_day), DATE(YEAR(Tracking[[#This Row],[Date]]), MONTH(Tracking[[#This Row],[Date]])+1, 1), Tracking[[#This Row],[Date]])</f>
        <v>44612</v>
      </c>
    </row>
    <row r="52" spans="2:8" x14ac:dyDescent="0.25">
      <c r="B52" s="38">
        <v>44614</v>
      </c>
      <c r="C52" s="37" t="s">
        <v>17</v>
      </c>
      <c r="D52" s="37" t="s">
        <v>30</v>
      </c>
      <c r="E52" s="39">
        <v>80</v>
      </c>
      <c r="F52" s="40"/>
      <c r="G52" s="41">
        <f>SUMPRODUCT(Tracking[Amount], --(Tracking[Date]&lt;=Tracking[[#This Row],[Date]]), (Tracking[Type]&lt;&gt;"Income")*(-1) + (Tracking[Type]="Income") )</f>
        <v>900</v>
      </c>
      <c r="H52" s="51">
        <f>IF(AND(Tracking[[#This Row],[Type]]="Income", shift_late_income_status="Active", DAY(Tracking[[#This Row],[Date]])&gt;=shift_late_income_starting_day), DATE(YEAR(Tracking[[#This Row],[Date]]), MONTH(Tracking[[#This Row],[Date]])+1, 1), Tracking[[#This Row],[Date]])</f>
        <v>44614</v>
      </c>
    </row>
    <row r="53" spans="2:8" x14ac:dyDescent="0.25">
      <c r="B53" s="38">
        <v>44616</v>
      </c>
      <c r="C53" s="37" t="s">
        <v>17</v>
      </c>
      <c r="D53" s="37" t="s">
        <v>20</v>
      </c>
      <c r="E53" s="39">
        <v>120</v>
      </c>
      <c r="F53" s="40"/>
      <c r="G53" s="41">
        <f>SUMPRODUCT(Tracking[Amount], --(Tracking[Date]&lt;=Tracking[[#This Row],[Date]]), (Tracking[Type]&lt;&gt;"Income")*(-1) + (Tracking[Type]="Income") )</f>
        <v>780</v>
      </c>
      <c r="H53" s="51">
        <f>IF(AND(Tracking[[#This Row],[Type]]="Income", shift_late_income_status="Active", DAY(Tracking[[#This Row],[Date]])&gt;=shift_late_income_starting_day), DATE(YEAR(Tracking[[#This Row],[Date]]), MONTH(Tracking[[#This Row],[Date]])+1, 1), Tracking[[#This Row],[Date]])</f>
        <v>44616</v>
      </c>
    </row>
    <row r="54" spans="2:8" x14ac:dyDescent="0.25">
      <c r="B54" s="38">
        <v>44617</v>
      </c>
      <c r="C54" s="37" t="s">
        <v>17</v>
      </c>
      <c r="D54" s="37" t="s">
        <v>28</v>
      </c>
      <c r="E54" s="39">
        <v>130</v>
      </c>
      <c r="F54" s="40"/>
      <c r="G54" s="41">
        <f>SUMPRODUCT(Tracking[Amount], --(Tracking[Date]&lt;=Tracking[[#This Row],[Date]]), (Tracking[Type]&lt;&gt;"Income")*(-1) + (Tracking[Type]="Income") )</f>
        <v>4150</v>
      </c>
      <c r="H54" s="51">
        <f>IF(AND(Tracking[[#This Row],[Type]]="Income", shift_late_income_status="Active", DAY(Tracking[[#This Row],[Date]])&gt;=shift_late_income_starting_day), DATE(YEAR(Tracking[[#This Row],[Date]]), MONTH(Tracking[[#This Row],[Date]])+1, 1), Tracking[[#This Row],[Date]])</f>
        <v>44617</v>
      </c>
    </row>
    <row r="55" spans="2:8" x14ac:dyDescent="0.25">
      <c r="B55" s="38">
        <v>44617</v>
      </c>
      <c r="C55" s="37" t="s">
        <v>11</v>
      </c>
      <c r="D55" s="37" t="s">
        <v>14</v>
      </c>
      <c r="E55" s="39">
        <v>3500</v>
      </c>
      <c r="F55" s="40"/>
      <c r="G55" s="41">
        <f>SUMPRODUCT(Tracking[Amount], --(Tracking[Date]&lt;=Tracking[[#This Row],[Date]]), (Tracking[Type]&lt;&gt;"Income")*(-1) + (Tracking[Type]="Income") )</f>
        <v>4150</v>
      </c>
      <c r="H55" s="51">
        <f>IF(AND(Tracking[[#This Row],[Type]]="Income", shift_late_income_status="Active", DAY(Tracking[[#This Row],[Date]])&gt;=shift_late_income_starting_day), DATE(YEAR(Tracking[[#This Row],[Date]]), MONTH(Tracking[[#This Row],[Date]])+1, 1), Tracking[[#This Row],[Date]])</f>
        <v>44621</v>
      </c>
    </row>
    <row r="56" spans="2:8" x14ac:dyDescent="0.25">
      <c r="B56" s="38">
        <v>44618</v>
      </c>
      <c r="C56" s="37" t="s">
        <v>17</v>
      </c>
      <c r="D56" s="37" t="s">
        <v>33</v>
      </c>
      <c r="E56" s="39">
        <v>50</v>
      </c>
      <c r="F56" s="40"/>
      <c r="G56" s="41">
        <f>SUMPRODUCT(Tracking[Amount], --(Tracking[Date]&lt;=Tracking[[#This Row],[Date]]), (Tracking[Type]&lt;&gt;"Income")*(-1) + (Tracking[Type]="Income") )</f>
        <v>4100</v>
      </c>
      <c r="H56" s="51">
        <f>IF(AND(Tracking[[#This Row],[Type]]="Income", shift_late_income_status="Active", DAY(Tracking[[#This Row],[Date]])&gt;=shift_late_income_starting_day), DATE(YEAR(Tracking[[#This Row],[Date]]), MONTH(Tracking[[#This Row],[Date]])+1, 1), Tracking[[#This Row],[Date]])</f>
        <v>44618</v>
      </c>
    </row>
    <row r="57" spans="2:8" x14ac:dyDescent="0.25">
      <c r="B57" s="38">
        <v>44619</v>
      </c>
      <c r="C57" s="37" t="s">
        <v>17</v>
      </c>
      <c r="D57" s="37" t="s">
        <v>31</v>
      </c>
      <c r="E57" s="39">
        <v>60</v>
      </c>
      <c r="F57" s="40"/>
      <c r="G57" s="41">
        <f>SUMPRODUCT(Tracking[Amount], --(Tracking[Date]&lt;=Tracking[[#This Row],[Date]]), (Tracking[Type]&lt;&gt;"Income")*(-1) + (Tracking[Type]="Income") )</f>
        <v>4040</v>
      </c>
      <c r="H57" s="51">
        <f>IF(AND(Tracking[[#This Row],[Type]]="Income", shift_late_income_status="Active", DAY(Tracking[[#This Row],[Date]])&gt;=shift_late_income_starting_day), DATE(YEAR(Tracking[[#This Row],[Date]]), MONTH(Tracking[[#This Row],[Date]])+1, 1), Tracking[[#This Row],[Date]])</f>
        <v>44619</v>
      </c>
    </row>
    <row r="58" spans="2:8" x14ac:dyDescent="0.25">
      <c r="B58" s="38">
        <v>44620</v>
      </c>
      <c r="C58" s="37" t="s">
        <v>22</v>
      </c>
      <c r="D58" s="37" t="s">
        <v>24</v>
      </c>
      <c r="E58" s="39">
        <v>400</v>
      </c>
      <c r="F58" s="40"/>
      <c r="G58" s="41">
        <f>SUMPRODUCT(Tracking[Amount], --(Tracking[Date]&lt;=Tracking[[#This Row],[Date]]), (Tracking[Type]&lt;&gt;"Income")*(-1) + (Tracking[Type]="Income") )</f>
        <v>3500</v>
      </c>
      <c r="H58" s="51">
        <f>IF(AND(Tracking[[#This Row],[Type]]="Income", shift_late_income_status="Active", DAY(Tracking[[#This Row],[Date]])&gt;=shift_late_income_starting_day), DATE(YEAR(Tracking[[#This Row],[Date]]), MONTH(Tracking[[#This Row],[Date]])+1, 1), Tracking[[#This Row],[Date]])</f>
        <v>44620</v>
      </c>
    </row>
    <row r="59" spans="2:8" x14ac:dyDescent="0.25">
      <c r="B59" s="38">
        <v>44620</v>
      </c>
      <c r="C59" s="37" t="s">
        <v>22</v>
      </c>
      <c r="D59" s="37" t="s">
        <v>23</v>
      </c>
      <c r="E59" s="39">
        <v>140</v>
      </c>
      <c r="F59" s="40"/>
      <c r="G59" s="41">
        <f>SUMPRODUCT(Tracking[Amount], --(Tracking[Date]&lt;=Tracking[[#This Row],[Date]]), (Tracking[Type]&lt;&gt;"Income")*(-1) + (Tracking[Type]="Income") )</f>
        <v>3500</v>
      </c>
      <c r="H59" s="51">
        <f>IF(AND(Tracking[[#This Row],[Type]]="Income", shift_late_income_status="Active", DAY(Tracking[[#This Row],[Date]])&gt;=shift_late_income_starting_day), DATE(YEAR(Tracking[[#This Row],[Date]]), MONTH(Tracking[[#This Row],[Date]])+1, 1), Tracking[[#This Row],[Date]])</f>
        <v>44620</v>
      </c>
    </row>
    <row r="60" spans="2:8" x14ac:dyDescent="0.25">
      <c r="B60" s="38">
        <v>44621</v>
      </c>
      <c r="C60" s="37" t="s">
        <v>17</v>
      </c>
      <c r="D60" s="37" t="s">
        <v>18</v>
      </c>
      <c r="E60" s="39">
        <v>1200</v>
      </c>
      <c r="F60" s="40"/>
      <c r="G60" s="41">
        <f>SUMPRODUCT(Tracking[Amount], --(Tracking[Date]&lt;=Tracking[[#This Row],[Date]]), (Tracking[Type]&lt;&gt;"Income")*(-1) + (Tracking[Type]="Income") )</f>
        <v>2300</v>
      </c>
      <c r="H60" s="51">
        <f>IF(AND(Tracking[[#This Row],[Type]]="Income", shift_late_income_status="Active", DAY(Tracking[[#This Row],[Date]])&gt;=shift_late_income_starting_day), DATE(YEAR(Tracking[[#This Row],[Date]]), MONTH(Tracking[[#This Row],[Date]])+1, 1), Tracking[[#This Row],[Date]])</f>
        <v>44621</v>
      </c>
    </row>
    <row r="61" spans="2:8" x14ac:dyDescent="0.25">
      <c r="B61" s="38">
        <v>44622</v>
      </c>
      <c r="C61" s="37" t="s">
        <v>17</v>
      </c>
      <c r="D61" s="37" t="s">
        <v>19</v>
      </c>
      <c r="E61" s="39">
        <v>300</v>
      </c>
      <c r="F61" s="40"/>
      <c r="G61" s="41">
        <f>SUMPRODUCT(Tracking[Amount], --(Tracking[Date]&lt;=Tracking[[#This Row],[Date]]), (Tracking[Type]&lt;&gt;"Income")*(-1) + (Tracking[Type]="Income") )</f>
        <v>2000</v>
      </c>
      <c r="H61" s="51">
        <f>IF(AND(Tracking[[#This Row],[Type]]="Income", shift_late_income_status="Active", DAY(Tracking[[#This Row],[Date]])&gt;=shift_late_income_starting_day), DATE(YEAR(Tracking[[#This Row],[Date]]), MONTH(Tracking[[#This Row],[Date]])+1, 1), Tracking[[#This Row],[Date]])</f>
        <v>44622</v>
      </c>
    </row>
    <row r="62" spans="2:8" x14ac:dyDescent="0.25">
      <c r="B62" s="38">
        <v>44623</v>
      </c>
      <c r="C62" s="37" t="s">
        <v>17</v>
      </c>
      <c r="D62" s="37" t="s">
        <v>20</v>
      </c>
      <c r="E62" s="39">
        <v>60</v>
      </c>
      <c r="F62" s="40"/>
      <c r="G62" s="41">
        <f>SUMPRODUCT(Tracking[Amount], --(Tracking[Date]&lt;=Tracking[[#This Row],[Date]]), (Tracking[Type]&lt;&gt;"Income")*(-1) + (Tracking[Type]="Income") )</f>
        <v>1940</v>
      </c>
      <c r="H62" s="51">
        <f>IF(AND(Tracking[[#This Row],[Type]]="Income", shift_late_income_status="Active", DAY(Tracking[[#This Row],[Date]])&gt;=shift_late_income_starting_day), DATE(YEAR(Tracking[[#This Row],[Date]]), MONTH(Tracking[[#This Row],[Date]])+1, 1), Tracking[[#This Row],[Date]])</f>
        <v>44623</v>
      </c>
    </row>
    <row r="63" spans="2:8" x14ac:dyDescent="0.25">
      <c r="B63" s="38">
        <v>44624</v>
      </c>
      <c r="C63" s="37" t="s">
        <v>17</v>
      </c>
      <c r="D63" s="37" t="s">
        <v>31</v>
      </c>
      <c r="E63" s="39">
        <v>30</v>
      </c>
      <c r="F63" s="40"/>
      <c r="G63" s="41">
        <f>SUMPRODUCT(Tracking[Amount], --(Tracking[Date]&lt;=Tracking[[#This Row],[Date]]), (Tracking[Type]&lt;&gt;"Income")*(-1) + (Tracking[Type]="Income") )</f>
        <v>1910</v>
      </c>
      <c r="H63" s="51">
        <f>IF(AND(Tracking[[#This Row],[Type]]="Income", shift_late_income_status="Active", DAY(Tracking[[#This Row],[Date]])&gt;=shift_late_income_starting_day), DATE(YEAR(Tracking[[#This Row],[Date]]), MONTH(Tracking[[#This Row],[Date]])+1, 1), Tracking[[#This Row],[Date]])</f>
        <v>44624</v>
      </c>
    </row>
    <row r="64" spans="2:8" x14ac:dyDescent="0.25">
      <c r="B64" s="38">
        <v>44626</v>
      </c>
      <c r="C64" s="37" t="s">
        <v>17</v>
      </c>
      <c r="D64" s="37" t="s">
        <v>29</v>
      </c>
      <c r="E64" s="39">
        <v>150</v>
      </c>
      <c r="F64" s="40"/>
      <c r="G64" s="41">
        <f>SUMPRODUCT(Tracking[Amount], --(Tracking[Date]&lt;=Tracking[[#This Row],[Date]]), (Tracking[Type]&lt;&gt;"Income")*(-1) + (Tracking[Type]="Income") )</f>
        <v>1760</v>
      </c>
      <c r="H64" s="51">
        <f>IF(AND(Tracking[[#This Row],[Type]]="Income", shift_late_income_status="Active", DAY(Tracking[[#This Row],[Date]])&gt;=shift_late_income_starting_day), DATE(YEAR(Tracking[[#This Row],[Date]]), MONTH(Tracking[[#This Row],[Date]])+1, 1), Tracking[[#This Row],[Date]])</f>
        <v>44626</v>
      </c>
    </row>
    <row r="65" spans="2:8" x14ac:dyDescent="0.25">
      <c r="B65" s="38">
        <v>44627</v>
      </c>
      <c r="C65" s="37" t="s">
        <v>17</v>
      </c>
      <c r="D65" s="37" t="s">
        <v>28</v>
      </c>
      <c r="E65" s="39">
        <v>50</v>
      </c>
      <c r="F65" s="40"/>
      <c r="G65" s="41">
        <f>SUMPRODUCT(Tracking[Amount], --(Tracking[Date]&lt;=Tracking[[#This Row],[Date]]), (Tracking[Type]&lt;&gt;"Income")*(-1) + (Tracking[Type]="Income") )</f>
        <v>1710</v>
      </c>
      <c r="H65" s="51">
        <f>IF(AND(Tracking[[#This Row],[Type]]="Income", shift_late_income_status="Active", DAY(Tracking[[#This Row],[Date]])&gt;=shift_late_income_starting_day), DATE(YEAR(Tracking[[#This Row],[Date]]), MONTH(Tracking[[#This Row],[Date]])+1, 1), Tracking[[#This Row],[Date]])</f>
        <v>44627</v>
      </c>
    </row>
    <row r="66" spans="2:8" x14ac:dyDescent="0.25">
      <c r="B66" s="38">
        <v>44629</v>
      </c>
      <c r="C66" s="37" t="s">
        <v>17</v>
      </c>
      <c r="D66" s="37" t="s">
        <v>33</v>
      </c>
      <c r="E66" s="39">
        <v>120</v>
      </c>
      <c r="F66" s="40"/>
      <c r="G66" s="41">
        <f>SUMPRODUCT(Tracking[Amount], --(Tracking[Date]&lt;=Tracking[[#This Row],[Date]]), (Tracking[Type]&lt;&gt;"Income")*(-1) + (Tracking[Type]="Income") )</f>
        <v>1590</v>
      </c>
      <c r="H66" s="51">
        <f>IF(AND(Tracking[[#This Row],[Type]]="Income", shift_late_income_status="Active", DAY(Tracking[[#This Row],[Date]])&gt;=shift_late_income_starting_day), DATE(YEAR(Tracking[[#This Row],[Date]]), MONTH(Tracking[[#This Row],[Date]])+1, 1), Tracking[[#This Row],[Date]])</f>
        <v>44629</v>
      </c>
    </row>
    <row r="67" spans="2:8" x14ac:dyDescent="0.25">
      <c r="B67" s="38">
        <v>44630</v>
      </c>
      <c r="C67" s="37" t="s">
        <v>11</v>
      </c>
      <c r="D67" s="37" t="s">
        <v>16</v>
      </c>
      <c r="E67" s="39">
        <v>100</v>
      </c>
      <c r="F67" s="40"/>
      <c r="G67" s="41">
        <f>SUMPRODUCT(Tracking[Amount], --(Tracking[Date]&lt;=Tracking[[#This Row],[Date]]), (Tracking[Type]&lt;&gt;"Income")*(-1) + (Tracking[Type]="Income") )</f>
        <v>1690</v>
      </c>
      <c r="H67" s="51">
        <f>IF(AND(Tracking[[#This Row],[Type]]="Income", shift_late_income_status="Active", DAY(Tracking[[#This Row],[Date]])&gt;=shift_late_income_starting_day), DATE(YEAR(Tracking[[#This Row],[Date]]), MONTH(Tracking[[#This Row],[Date]])+1, 1), Tracking[[#This Row],[Date]])</f>
        <v>44630</v>
      </c>
    </row>
    <row r="68" spans="2:8" x14ac:dyDescent="0.25">
      <c r="B68" s="38">
        <v>44632</v>
      </c>
      <c r="C68" s="37" t="s">
        <v>17</v>
      </c>
      <c r="D68" s="37" t="s">
        <v>32</v>
      </c>
      <c r="E68" s="39">
        <v>50</v>
      </c>
      <c r="F68" s="40"/>
      <c r="G68" s="41">
        <f>SUMPRODUCT(Tracking[Amount], --(Tracking[Date]&lt;=Tracking[[#This Row],[Date]]), (Tracking[Type]&lt;&gt;"Income")*(-1) + (Tracking[Type]="Income") )</f>
        <v>1640</v>
      </c>
      <c r="H68" s="51">
        <f>IF(AND(Tracking[[#This Row],[Type]]="Income", shift_late_income_status="Active", DAY(Tracking[[#This Row],[Date]])&gt;=shift_late_income_starting_day), DATE(YEAR(Tracking[[#This Row],[Date]]), MONTH(Tracking[[#This Row],[Date]])+1, 1), Tracking[[#This Row],[Date]])</f>
        <v>44632</v>
      </c>
    </row>
    <row r="69" spans="2:8" x14ac:dyDescent="0.25">
      <c r="B69" s="38">
        <v>44633</v>
      </c>
      <c r="C69" s="37" t="s">
        <v>17</v>
      </c>
      <c r="D69" s="37" t="s">
        <v>20</v>
      </c>
      <c r="E69" s="39">
        <v>120</v>
      </c>
      <c r="F69" s="40"/>
      <c r="G69" s="41">
        <f>SUMPRODUCT(Tracking[Amount], --(Tracking[Date]&lt;=Tracking[[#This Row],[Date]]), (Tracking[Type]&lt;&gt;"Income")*(-1) + (Tracking[Type]="Income") )</f>
        <v>1520</v>
      </c>
      <c r="H69" s="51">
        <f>IF(AND(Tracking[[#This Row],[Type]]="Income", shift_late_income_status="Active", DAY(Tracking[[#This Row],[Date]])&gt;=shift_late_income_starting_day), DATE(YEAR(Tracking[[#This Row],[Date]]), MONTH(Tracking[[#This Row],[Date]])+1, 1), Tracking[[#This Row],[Date]])</f>
        <v>44633</v>
      </c>
    </row>
    <row r="70" spans="2:8" x14ac:dyDescent="0.25">
      <c r="B70" s="38">
        <v>44635</v>
      </c>
      <c r="C70" s="37" t="s">
        <v>11</v>
      </c>
      <c r="D70" s="37" t="s">
        <v>15</v>
      </c>
      <c r="E70" s="39">
        <v>1100</v>
      </c>
      <c r="F70" s="40"/>
      <c r="G70" s="41">
        <f>SUMPRODUCT(Tracking[Amount], --(Tracking[Date]&lt;=Tracking[[#This Row],[Date]]), (Tracking[Type]&lt;&gt;"Income")*(-1) + (Tracking[Type]="Income") )</f>
        <v>2620</v>
      </c>
      <c r="H70" s="51">
        <f>IF(AND(Tracking[[#This Row],[Type]]="Income", shift_late_income_status="Active", DAY(Tracking[[#This Row],[Date]])&gt;=shift_late_income_starting_day), DATE(YEAR(Tracking[[#This Row],[Date]]), MONTH(Tracking[[#This Row],[Date]])+1, 1), Tracking[[#This Row],[Date]])</f>
        <v>44635</v>
      </c>
    </row>
  </sheetData>
  <conditionalFormatting sqref="D12:D70">
    <cfRule type="expression" dxfId="28" priority="4">
      <formula>ISNA(MATCH(D12, INDIRECT(C12), 0))</formula>
    </cfRule>
  </conditionalFormatting>
  <conditionalFormatting sqref="E12:E70">
    <cfRule type="expression" dxfId="27" priority="3">
      <formula>C12="Income"</formula>
    </cfRule>
  </conditionalFormatting>
  <conditionalFormatting sqref="H12:H70">
    <cfRule type="expression" dxfId="26" priority="1">
      <formula>AND(C12="Income", shift_late_income_status="Active", DAY(B12)&gt;=shift_late_income_starting_day)</formula>
    </cfRule>
  </conditionalFormatting>
  <dataValidations count="5">
    <dataValidation type="date" operator="greaterThan" allowBlank="1" showInputMessage="1" showErrorMessage="1" errorTitle="Invalid Date" error="Please enter a valid date." sqref="B12:B70">
      <formula1>1</formula1>
    </dataValidation>
    <dataValidation type="list" allowBlank="1" showInputMessage="1" showErrorMessage="1" errorTitle="Invalid Type" error="Please select a valid type from the dropdown list." sqref="C11:C70">
      <formula1>"Income, Expenses, Savings"</formula1>
    </dataValidation>
    <dataValidation type="list" allowBlank="1" showInputMessage="1" showErrorMessage="1" errorTitle="Invalid Category" error="Please select a valid category from the dropdown list." sqref="D11">
      <formula1 xml:space="preserve"> INDIRECT(C12)</formula1>
    </dataValidation>
    <dataValidation type="list" allowBlank="1" showInputMessage="1" showErrorMessage="1" errorTitle="Invalid Category" error="Please select a valid category from the dropdown list." sqref="D12:D70">
      <formula1 xml:space="preserve"> INDIRECT(C12)</formula1>
    </dataValidation>
    <dataValidation type="custom" allowBlank="1" showInputMessage="1" showErrorMessage="1" errorTitle="Invalid Amount" error="Please enter a valid number." sqref="E12:E70">
      <formula1>ISNUMBER(E12)</formula1>
    </dataValidation>
  </dataValidation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53"/>
  <sheetViews>
    <sheetView showGridLines="0" tabSelected="1" zoomScale="80" zoomScaleNormal="80" workbookViewId="0">
      <pane ySplit="3" topLeftCell="A4" activePane="bottomLeft" state="frozen"/>
      <selection pane="bottomLeft" activeCell="AF39" sqref="AF39"/>
    </sheetView>
  </sheetViews>
  <sheetFormatPr defaultRowHeight="15" x14ac:dyDescent="0.25"/>
  <cols>
    <col min="1" max="1" width="3.28515625" customWidth="1"/>
    <col min="2" max="2" width="3.85546875" customWidth="1"/>
    <col min="3" max="3" width="9.140625" hidden="1" customWidth="1"/>
    <col min="4" max="4" width="15.5703125" hidden="1" customWidth="1"/>
    <col min="5" max="5" width="10.7109375" hidden="1" customWidth="1"/>
    <col min="6" max="7" width="9.140625" hidden="1" customWidth="1"/>
    <col min="8" max="8" width="10" hidden="1" customWidth="1"/>
    <col min="9" max="9" width="9.140625" hidden="1" customWidth="1"/>
    <col min="10" max="10" width="23.140625" hidden="1" customWidth="1"/>
    <col min="11" max="12" width="9.140625" hidden="1" customWidth="1"/>
    <col min="13" max="13" width="13" hidden="1" customWidth="1"/>
    <col min="14" max="14" width="11.28515625" hidden="1" customWidth="1"/>
    <col min="15" max="15" width="13.140625" hidden="1" customWidth="1"/>
    <col min="16" max="16" width="13.28515625" hidden="1" customWidth="1"/>
    <col min="17" max="17" width="11.85546875" hidden="1" customWidth="1"/>
    <col min="18" max="18" width="12.42578125" hidden="1" customWidth="1"/>
    <col min="19" max="19" width="14.28515625" hidden="1" customWidth="1"/>
    <col min="20" max="20" width="13" hidden="1" customWidth="1"/>
    <col min="21" max="21" width="11.28515625" hidden="1" customWidth="1"/>
    <col min="22" max="22" width="13.140625" hidden="1" customWidth="1"/>
    <col min="23" max="23" width="13.28515625" hidden="1" customWidth="1"/>
    <col min="24" max="24" width="22.28515625" hidden="1" customWidth="1"/>
    <col min="25" max="25" width="27.5703125" customWidth="1"/>
    <col min="26" max="30" width="12.7109375" customWidth="1"/>
    <col min="31" max="31" width="4.42578125" customWidth="1"/>
    <col min="32" max="32" width="13.5703125" customWidth="1"/>
    <col min="33" max="33" width="12.85546875" customWidth="1"/>
    <col min="34" max="34" width="2.42578125" customWidth="1"/>
    <col min="35" max="35" width="15.28515625" customWidth="1"/>
    <col min="36" max="36" width="8.5703125" customWidth="1"/>
    <col min="37" max="37" width="6.140625" customWidth="1"/>
    <col min="38" max="38" width="3.5703125" customWidth="1"/>
    <col min="39" max="39" width="13.5703125" customWidth="1"/>
    <col min="40" max="40" width="12.85546875" customWidth="1"/>
    <col min="41" max="41" width="2.42578125" customWidth="1"/>
    <col min="42" max="42" width="15.28515625" customWidth="1"/>
    <col min="43" max="43" width="8.5703125" customWidth="1"/>
    <col min="44" max="44" width="6.140625" customWidth="1"/>
  </cols>
  <sheetData>
    <row r="1" spans="1:46" ht="4.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20.25" customHeight="1" x14ac:dyDescent="0.35">
      <c r="A2" s="2"/>
      <c r="B2" s="2"/>
      <c r="C2" s="4" t="s">
        <v>2</v>
      </c>
      <c r="D2" s="2"/>
      <c r="E2" s="2"/>
      <c r="F2" s="2"/>
      <c r="G2" s="2"/>
      <c r="H2" s="2"/>
      <c r="I2" s="2"/>
      <c r="J2" s="2"/>
      <c r="K2" s="2"/>
      <c r="L2" s="2"/>
      <c r="M2" s="2"/>
      <c r="N2" s="2"/>
      <c r="O2" s="2"/>
      <c r="P2" s="2"/>
      <c r="Q2" s="2"/>
      <c r="R2" s="2"/>
      <c r="S2" s="2"/>
      <c r="T2" s="2"/>
      <c r="U2" s="2"/>
      <c r="V2" s="2"/>
      <c r="W2" s="2"/>
      <c r="X2" s="2"/>
      <c r="Y2" s="4" t="s">
        <v>2</v>
      </c>
      <c r="Z2" s="2"/>
      <c r="AA2" s="2"/>
      <c r="AB2" s="2"/>
      <c r="AC2" s="2"/>
      <c r="AD2" s="2"/>
      <c r="AE2" s="2"/>
      <c r="AF2" s="2"/>
      <c r="AG2" s="2"/>
      <c r="AH2" s="2"/>
      <c r="AI2" s="2"/>
      <c r="AJ2" s="2"/>
      <c r="AK2" s="2"/>
      <c r="AL2" s="2"/>
      <c r="AM2" s="2"/>
      <c r="AN2" s="2"/>
      <c r="AO2" s="2"/>
      <c r="AP2" s="2"/>
      <c r="AQ2" s="2"/>
      <c r="AR2" s="2"/>
      <c r="AS2" s="2"/>
      <c r="AT2" s="2"/>
    </row>
    <row r="3" spans="1:46" ht="9"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5" spans="1:46" x14ac:dyDescent="0.25">
      <c r="AQ5" s="111" t="s">
        <v>59</v>
      </c>
      <c r="AR5" s="112"/>
    </row>
    <row r="6" spans="1:46" x14ac:dyDescent="0.25">
      <c r="AN6" s="114" t="s">
        <v>60</v>
      </c>
      <c r="AO6" s="114"/>
      <c r="AP6" s="114"/>
      <c r="AQ6" s="113">
        <v>2022</v>
      </c>
      <c r="AR6" s="113"/>
    </row>
    <row r="8" spans="1:46" x14ac:dyDescent="0.25">
      <c r="AQ8" s="111" t="s">
        <v>61</v>
      </c>
      <c r="AR8" s="112"/>
    </row>
    <row r="9" spans="1:46" x14ac:dyDescent="0.25">
      <c r="AN9" s="114" t="s">
        <v>62</v>
      </c>
      <c r="AO9" s="114"/>
      <c r="AP9" s="114"/>
      <c r="AQ9" s="115">
        <v>36557</v>
      </c>
      <c r="AR9" s="115"/>
    </row>
    <row r="11" spans="1:46" x14ac:dyDescent="0.25">
      <c r="C11" s="57"/>
      <c r="D11" s="57"/>
      <c r="E11" s="57"/>
      <c r="F11" s="57"/>
      <c r="G11" s="57"/>
      <c r="H11" s="57"/>
      <c r="I11" s="57"/>
      <c r="J11" s="57"/>
      <c r="K11" s="57"/>
      <c r="L11" s="57"/>
      <c r="M11" s="57"/>
      <c r="N11" s="57"/>
      <c r="O11" s="57"/>
      <c r="P11" s="57"/>
      <c r="Q11" s="57"/>
      <c r="R11" s="57"/>
      <c r="S11" s="76"/>
      <c r="T11" s="57"/>
      <c r="U11" s="57"/>
      <c r="V11" s="57"/>
      <c r="W11" s="57"/>
      <c r="X11" s="77"/>
      <c r="Y11" s="110" t="str">
        <f>"Breakdown - " &amp; IF(selected_period="Total Year",  selected_year  &amp;  "(Total Year)",  selected_period_display &amp; " " &amp; selected_year)</f>
        <v>Breakdown - February 2022</v>
      </c>
      <c r="Z11" s="110"/>
      <c r="AA11" s="110"/>
      <c r="AB11" s="110"/>
      <c r="AC11" s="110"/>
      <c r="AD11" s="110"/>
      <c r="AF11" s="110" t="str">
        <f>"Summary - " &amp; IF(selected_period="Total Year",  selected_year  &amp;  "(Total Year)",  selected_period_display &amp; " " &amp; selected_year)</f>
        <v>Summary - February 2022</v>
      </c>
      <c r="AG11" s="110"/>
      <c r="AH11" s="110"/>
      <c r="AI11" s="110"/>
      <c r="AJ11" s="110"/>
      <c r="AK11" s="110"/>
      <c r="AL11" s="110"/>
      <c r="AM11" s="110"/>
      <c r="AN11" s="110"/>
      <c r="AO11" s="110"/>
      <c r="AP11" s="110"/>
      <c r="AQ11" s="110"/>
      <c r="AR11" s="110"/>
    </row>
    <row r="12" spans="1:46" x14ac:dyDescent="0.25">
      <c r="C12" s="65" t="s">
        <v>72</v>
      </c>
      <c r="D12" s="65" t="s">
        <v>73</v>
      </c>
      <c r="E12" s="73" t="s">
        <v>74</v>
      </c>
      <c r="F12" s="75" t="s">
        <v>75</v>
      </c>
      <c r="G12" s="75" t="s">
        <v>76</v>
      </c>
      <c r="H12" s="74" t="s">
        <v>77</v>
      </c>
      <c r="I12" s="73" t="s">
        <v>78</v>
      </c>
      <c r="J12" s="75" t="s">
        <v>80</v>
      </c>
      <c r="K12" s="75" t="s">
        <v>79</v>
      </c>
      <c r="L12" s="74" t="s">
        <v>81</v>
      </c>
      <c r="M12" s="73" t="s">
        <v>82</v>
      </c>
      <c r="N12" s="74" t="s">
        <v>83</v>
      </c>
      <c r="O12" s="73" t="s">
        <v>84</v>
      </c>
      <c r="P12" s="75" t="s">
        <v>87</v>
      </c>
      <c r="Q12" s="75" t="s">
        <v>85</v>
      </c>
      <c r="R12" s="75" t="s">
        <v>86</v>
      </c>
      <c r="S12" s="73" t="s">
        <v>88</v>
      </c>
      <c r="T12" s="73" t="s">
        <v>82</v>
      </c>
      <c r="U12" s="74" t="s">
        <v>83</v>
      </c>
      <c r="V12" s="73" t="s">
        <v>84</v>
      </c>
      <c r="W12" s="75" t="s">
        <v>87</v>
      </c>
      <c r="X12" s="79" t="s">
        <v>89</v>
      </c>
    </row>
    <row r="13" spans="1:46" x14ac:dyDescent="0.25">
      <c r="C13" s="5">
        <f>income_header_row</f>
        <v>9</v>
      </c>
      <c r="D13" s="6">
        <f t="shared" ref="D13:D50" si="0">IF(is_header,row_id, IF(NOT(is_empty),D12,-1))</f>
        <v>9</v>
      </c>
      <c r="E13" s="5">
        <f>1*OR(row_id=income_header_row,row_id=expenses_header_row,row_id=Savings_header_row)</f>
        <v>1</v>
      </c>
      <c r="F13" s="6">
        <f t="shared" ref="F13:F50" si="1">1*NOT(OR(is_header,is_total,is_empty))</f>
        <v>0</v>
      </c>
      <c r="G13" s="6">
        <f>1*OR(row_id=income_total_row,row_id=expenses_total_row, row_id=Savings_total_row)</f>
        <v>0</v>
      </c>
      <c r="H13" s="7">
        <f t="shared" ref="H13:H50" si="2">1*OR(row_id="/1",row_id="/2",row_id=-1)</f>
        <v>0</v>
      </c>
      <c r="I13" s="5" t="str">
        <f>IFERROR(INDEX('Budget Planning'!C:C, header_row_id),"")</f>
        <v>Income</v>
      </c>
      <c r="J13" s="6" t="str">
        <f>IFERROR(INDEX('Budget Planning'!C:C, row_id),"")</f>
        <v>Income</v>
      </c>
      <c r="K13"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13" s="78" t="str">
        <f>IF(OR(is_header, is_empty), "",
   INDEX('Budget Planning'!$E:$FA, row_id,  MATCH(IF(selected_period="Total Year", selected_year,DATE(selected_year,selected_period,1)), 'Budget Planning'!$E$9:$FA$9,0)))</f>
        <v/>
      </c>
      <c r="M13" s="5" t="str">
        <f>IF(is_cat, IF(header_row_id=income_header_row,MATCH(income_min_row, $C:$C,0),    IF(header_row_id=expenses_header_row,MATCH(expenses_min_row, $C:$C,0),                 IF(header_row_id=Savings_header_row,MATCH(Savings_min_row, $C:$C,0),""))),"")</f>
        <v/>
      </c>
      <c r="N13" s="7" t="str">
        <f>IF(is_cat, IF(header_row_id=income_header_row,MATCH(income_max_row, $C:$C,0),    IF(header_row_id=expenses_header_row,MATCH(expenses_max_row, $C:$C,0),                 IF(header_row_id=Savings_header_row,MATCH(Savings_max_row, $C:$C,0),""))),"")</f>
        <v/>
      </c>
      <c r="O13" s="5" t="str">
        <f t="shared" ref="O13:O50" si="3">IF(is_cat,ADDRESS(sort_min_row, COLUMN(tracked))&amp;":"&amp;ADDRESS(sort_max_row,COLUMN(tracked)),"")</f>
        <v/>
      </c>
      <c r="P13" s="6" t="str">
        <f t="shared" ref="P13:P50" ca="1" si="4">IF(is_cat, RANK(tracked, INDIRECT(tracked_range),0),"")</f>
        <v/>
      </c>
      <c r="Q13" s="6" t="str">
        <f t="shared" ref="Q13:Q50" si="5">IF(is_cat,ADDRESS(sort_min_row, COLUMN(budget))&amp;":"&amp;ADDRESS(sort_max_row,COLUMN(budget)),"")</f>
        <v/>
      </c>
      <c r="R13" s="6" t="str">
        <f t="shared" ref="R13:R50" ca="1" si="6">IF(is_cat, RANK(budget, INDIRECT(budget_range),0),"")</f>
        <v/>
      </c>
      <c r="S13" s="5" t="str">
        <f t="shared" ref="S13:S50" si="7">IF(is_cat, _xlfn.NUMBERVALUE(tracked_rank &amp;budget_rank),"")</f>
        <v/>
      </c>
      <c r="T13" s="5" t="str">
        <f>IF(is_cat, IF(header_row_id=income_header_row,MATCH(income_min_row, $C:$C,0),    IF(header_row_id=expenses_header_row,MATCH(expenses_min_row, $C:$C,0),                 IF(header_row_id=Savings_header_row,MATCH(Savings_min_row, $C:$C,0),""))),"")</f>
        <v/>
      </c>
      <c r="U13" s="7" t="str">
        <f>IF(is_cat, IF(header_row_id=income_header_row,MATCH(income_max_row, $C:$C,0),    IF(header_row_id=expenses_header_row,MATCH(expenses_max_row, $C:$C,0),                 IF(header_row_id=Savings_header_row,MATCH(Savings_max_row, $C:$C,0),""))),"")</f>
        <v/>
      </c>
      <c r="V13" s="5" t="str">
        <f t="shared" ref="V13:V50" si="8">IF(is_cat,ADDRESS(sort_min_row, COLUMN(tracked))&amp;":"&amp;ADDRESS(sort_max_row,COLUMN(tracked)),"")</f>
        <v/>
      </c>
      <c r="W13" s="6" t="str">
        <f t="shared" ref="W13:W50" ca="1" si="9">IF(is_cat, RANK(tracked, INDIRECT(tracked_range),0),"")</f>
        <v/>
      </c>
      <c r="X13" s="80">
        <f t="shared" ref="X13:X50" si="10">IF(is_cat,header_row_id + comb_rank_unique,row_id)</f>
        <v>9</v>
      </c>
      <c r="Y13" s="81" t="str">
        <f t="shared" ref="Y13:Y50" si="11">IF(is_empty,"",INDEX($J:$J, MATCH(row_id, $X:$X, 0)))</f>
        <v>Income</v>
      </c>
      <c r="Z13" s="83" t="str">
        <f t="shared" ref="Z13:Z50" si="12">IF(is_empty,"",IF(is_header,"Tracked",INDEX($K:$K,MATCH(row_id, $X:$X,0))))</f>
        <v>Tracked</v>
      </c>
      <c r="AA13" s="83" t="str">
        <f t="shared" ref="AA13:AA50" si="13">IF(is_empty,"",IF(is_header,"Budget",INDEX($L:$L,MATCH(row_id, $X:$X,0))))</f>
        <v>Budget</v>
      </c>
      <c r="AB13" s="82" t="str">
        <f t="shared" ref="AB13:AB50" si="14">IF(is_empty,"",IF(is_header,"% Compl.",IFERROR(out_tracked / out_budget,"-")))</f>
        <v>% Compl.</v>
      </c>
      <c r="AC13" s="83" t="str">
        <f t="shared" ref="AC13:AC50" si="15">IF(is_empty,"", IF(is_header,"Remaining",IF(out_budget - out_tracked &gt;0, out_budget - out_tracked,0)))</f>
        <v>Remaining</v>
      </c>
      <c r="AD13" s="83" t="str">
        <f t="shared" ref="AD13:AD50" si="16">IF(is_empty,"", IF(is_header,"Excess",IF(out_budget - out_tracked &lt; 0, out_tracked - out_budget,0)))</f>
        <v>Excess</v>
      </c>
      <c r="AF13" s="84"/>
      <c r="AG13" s="85"/>
      <c r="AH13" s="85"/>
      <c r="AI13" s="85"/>
      <c r="AJ13" s="85"/>
      <c r="AK13" s="86"/>
      <c r="AM13" s="8"/>
      <c r="AN13" s="9"/>
      <c r="AO13" s="9"/>
      <c r="AP13" s="9"/>
      <c r="AQ13" s="9"/>
      <c r="AR13" s="10"/>
    </row>
    <row r="14" spans="1:46" x14ac:dyDescent="0.25">
      <c r="C14" s="5">
        <f>IF(C13=-1,-1, IF(C13&lt;income_max_row, C13+1, IF(C13=income_max_row, income_total_row,                                                                                                                                                                                       IF(C13=income_total_row, "/1",  IF(C13="/1",expenses_header_row,   IF(C13&lt;expenses_max_row,C13+1,                                                                                                                                                                       IF(C13=expenses_max_row,expenses_total_row,                     IF(C13=expenses_total_row, "/2",  IF(C13="/2",Savings_header_row,   IF(C13&lt;Savings_max_row,C13+1,                                                                                                                                                                       IF(C13=Savings_max_row,Savings_total_row,                     -1)))))))))))</f>
        <v>10</v>
      </c>
      <c r="D14" s="6">
        <f t="shared" si="0"/>
        <v>9</v>
      </c>
      <c r="E14" s="5">
        <f>1*OR(row_id=income_header_row,row_id=expenses_header_row,row_id=Savings_header_row)</f>
        <v>0</v>
      </c>
      <c r="F14" s="6">
        <f t="shared" si="1"/>
        <v>1</v>
      </c>
      <c r="G14" s="6">
        <f>1*OR(row_id=income_total_row,row_id=expenses_total_row, row_id=Savings_total_row)</f>
        <v>0</v>
      </c>
      <c r="H14" s="7">
        <f t="shared" si="2"/>
        <v>0</v>
      </c>
      <c r="I14" s="5" t="str">
        <f>IFERROR(INDEX('Budget Planning'!C:C, header_row_id),"")</f>
        <v>Income</v>
      </c>
      <c r="J14" s="6" t="str">
        <f>IFERROR(INDEX('Budget Planning'!C:C, row_id),"")</f>
        <v>Employement</v>
      </c>
      <c r="K14"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3500</v>
      </c>
      <c r="L14" s="78">
        <f>IF(OR(is_header, is_empty), "",
   INDEX('Budget Planning'!$E:$FA, row_id,  MATCH(IF(selected_period="Total Year", selected_year,DATE(selected_year,selected_period,1)), 'Budget Planning'!$E$9:$FA$9,0)))</f>
        <v>3500</v>
      </c>
      <c r="M14" s="5">
        <f>IF(is_cat, IF(header_row_id=income_header_row,MATCH(income_min_row, $C:$C,0),    IF(header_row_id=expenses_header_row,MATCH(expenses_min_row, $C:$C,0),                 IF(header_row_id=Savings_header_row,MATCH(Savings_min_row, $C:$C,0),""))),"")</f>
        <v>14</v>
      </c>
      <c r="N14" s="7">
        <f>IF(is_cat, IF(header_row_id=income_header_row,MATCH(income_max_row, $C:$C,0),    IF(header_row_id=expenses_header_row,MATCH(expenses_max_row, $C:$C,0),                 IF(header_row_id=Savings_header_row,MATCH(Savings_max_row, $C:$C,0),""))),"")</f>
        <v>16</v>
      </c>
      <c r="O14" s="5" t="str">
        <f t="shared" si="3"/>
        <v>$K$14:$K$16</v>
      </c>
      <c r="P14" s="6">
        <f t="shared" ca="1" si="4"/>
        <v>1</v>
      </c>
      <c r="Q14" s="6" t="str">
        <f t="shared" si="5"/>
        <v>$L$14:$L$16</v>
      </c>
      <c r="R14" s="6">
        <f t="shared" ca="1" si="6"/>
        <v>1</v>
      </c>
      <c r="S14" s="5">
        <f t="shared" ca="1" si="7"/>
        <v>11</v>
      </c>
      <c r="T14" s="5">
        <f>IF(is_cat, IF(header_row_id=income_header_row,MATCH(income_min_row, $C:$C,0),    IF(header_row_id=expenses_header_row,MATCH(expenses_min_row, $C:$C,0),                 IF(header_row_id=Savings_header_row,MATCH(Savings_min_row, $C:$C,0),""))),"")</f>
        <v>14</v>
      </c>
      <c r="U14" s="7">
        <f>IF(is_cat, IF(header_row_id=income_header_row,MATCH(income_max_row, $C:$C,0),    IF(header_row_id=expenses_header_row,MATCH(expenses_max_row, $C:$C,0),                 IF(header_row_id=Savings_header_row,MATCH(Savings_max_row, $C:$C,0),""))),"")</f>
        <v>16</v>
      </c>
      <c r="V14" s="5" t="str">
        <f t="shared" si="8"/>
        <v>$K$14:$K$16</v>
      </c>
      <c r="W14" s="6">
        <f t="shared" ca="1" si="9"/>
        <v>1</v>
      </c>
      <c r="X14" s="80">
        <f t="shared" ca="1" si="10"/>
        <v>10</v>
      </c>
      <c r="Y14" s="81" t="str">
        <f t="shared" ca="1" si="11"/>
        <v>Employement</v>
      </c>
      <c r="Z14" s="83">
        <f t="shared" ca="1" si="12"/>
        <v>3500</v>
      </c>
      <c r="AA14" s="83">
        <f t="shared" ca="1" si="13"/>
        <v>3500</v>
      </c>
      <c r="AB14" s="82">
        <f t="shared" ca="1" si="14"/>
        <v>1</v>
      </c>
      <c r="AC14" s="83">
        <f t="shared" ca="1" si="15"/>
        <v>0</v>
      </c>
      <c r="AD14" s="83">
        <f t="shared" ca="1" si="16"/>
        <v>0</v>
      </c>
      <c r="AF14" s="45"/>
      <c r="AG14" s="6"/>
      <c r="AH14" s="6"/>
      <c r="AI14" s="6"/>
      <c r="AJ14" s="6"/>
      <c r="AK14" s="46"/>
      <c r="AM14" s="5"/>
      <c r="AN14" s="6"/>
      <c r="AO14" s="6"/>
      <c r="AP14" s="6"/>
      <c r="AQ14" s="6"/>
      <c r="AR14" s="7"/>
    </row>
    <row r="15" spans="1:46" x14ac:dyDescent="0.25">
      <c r="C15" s="5">
        <f>IF(C14=-1,-1, IF(C14&lt;income_max_row, C14+1, IF(C14=income_max_row, income_total_row,                                                                                                                                                                                       IF(C14=income_total_row, "/1",  IF(C14="/1",expenses_header_row,   IF(C14&lt;expenses_max_row,C14+1,                                                                                                                                                                       IF(C14=expenses_max_row,expenses_total_row,                     IF(C14=expenses_total_row, "/2",  IF(C14="/2",Savings_header_row,   IF(C14&lt;Savings_max_row,C14+1,                                                                                                                                                                       IF(C14=Savings_max_row,Savings_total_row,                     -1)))))))))))</f>
        <v>11</v>
      </c>
      <c r="D15" s="6">
        <f t="shared" si="0"/>
        <v>9</v>
      </c>
      <c r="E15" s="5">
        <f>1*OR(row_id=income_header_row,row_id=expenses_header_row,row_id=Savings_header_row)</f>
        <v>0</v>
      </c>
      <c r="F15" s="6">
        <f t="shared" si="1"/>
        <v>1</v>
      </c>
      <c r="G15" s="6">
        <f>1*OR(row_id=income_total_row,row_id=expenses_total_row, row_id=Savings_total_row)</f>
        <v>0</v>
      </c>
      <c r="H15" s="7">
        <f t="shared" si="2"/>
        <v>0</v>
      </c>
      <c r="I15" s="5" t="str">
        <f>IFERROR(INDEX('Budget Planning'!C:C, header_row_id),"")</f>
        <v>Income</v>
      </c>
      <c r="J15" s="6" t="str">
        <f>IFERROR(INDEX('Budget Planning'!C:C, row_id),"")</f>
        <v>Side hustle</v>
      </c>
      <c r="K15"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500</v>
      </c>
      <c r="L15" s="78">
        <f>IF(OR(is_header, is_empty), "",
   INDEX('Budget Planning'!$E:$FA, row_id,  MATCH(IF(selected_period="Total Year", selected_year,DATE(selected_year,selected_period,1)), 'Budget Planning'!$E$9:$FA$9,0)))</f>
        <v>1000</v>
      </c>
      <c r="M15" s="5">
        <f>IF(is_cat, IF(header_row_id=income_header_row,MATCH(income_min_row, $C:$C,0),    IF(header_row_id=expenses_header_row,MATCH(expenses_min_row, $C:$C,0),                 IF(header_row_id=Savings_header_row,MATCH(Savings_min_row, $C:$C,0),""))),"")</f>
        <v>14</v>
      </c>
      <c r="N15" s="7">
        <f>IF(is_cat, IF(header_row_id=income_header_row,MATCH(income_max_row, $C:$C,0),    IF(header_row_id=expenses_header_row,MATCH(expenses_max_row, $C:$C,0),                 IF(header_row_id=Savings_header_row,MATCH(Savings_max_row, $C:$C,0),""))),"")</f>
        <v>16</v>
      </c>
      <c r="O15" s="5" t="str">
        <f t="shared" si="3"/>
        <v>$K$14:$K$16</v>
      </c>
      <c r="P15" s="6">
        <f t="shared" ca="1" si="4"/>
        <v>2</v>
      </c>
      <c r="Q15" s="6" t="str">
        <f t="shared" si="5"/>
        <v>$L$14:$L$16</v>
      </c>
      <c r="R15" s="6">
        <f t="shared" ca="1" si="6"/>
        <v>2</v>
      </c>
      <c r="S15" s="5">
        <f t="shared" ca="1" si="7"/>
        <v>22</v>
      </c>
      <c r="T15" s="5">
        <f>IF(is_cat, IF(header_row_id=income_header_row,MATCH(income_min_row, $C:$C,0),    IF(header_row_id=expenses_header_row,MATCH(expenses_min_row, $C:$C,0),                 IF(header_row_id=Savings_header_row,MATCH(Savings_min_row, $C:$C,0),""))),"")</f>
        <v>14</v>
      </c>
      <c r="U15" s="7">
        <f>IF(is_cat, IF(header_row_id=income_header_row,MATCH(income_max_row, $C:$C,0),    IF(header_row_id=expenses_header_row,MATCH(expenses_max_row, $C:$C,0),                 IF(header_row_id=Savings_header_row,MATCH(Savings_max_row, $C:$C,0),""))),"")</f>
        <v>16</v>
      </c>
      <c r="V15" s="5" t="str">
        <f t="shared" si="8"/>
        <v>$K$14:$K$16</v>
      </c>
      <c r="W15" s="6">
        <f t="shared" ca="1" si="9"/>
        <v>2</v>
      </c>
      <c r="X15" s="80">
        <f t="shared" ca="1" si="10"/>
        <v>11</v>
      </c>
      <c r="Y15" s="81" t="str">
        <f t="shared" ca="1" si="11"/>
        <v>Side hustle</v>
      </c>
      <c r="Z15" s="83">
        <f t="shared" ca="1" si="12"/>
        <v>500</v>
      </c>
      <c r="AA15" s="83">
        <f t="shared" ca="1" si="13"/>
        <v>1000</v>
      </c>
      <c r="AB15" s="82">
        <f t="shared" ca="1" si="14"/>
        <v>0.5</v>
      </c>
      <c r="AC15" s="83">
        <f t="shared" ca="1" si="15"/>
        <v>500</v>
      </c>
      <c r="AD15" s="83">
        <f t="shared" ca="1" si="16"/>
        <v>0</v>
      </c>
      <c r="AF15" s="45"/>
      <c r="AG15" s="6"/>
      <c r="AH15" s="6"/>
      <c r="AI15" s="6"/>
      <c r="AJ15" s="6"/>
      <c r="AK15" s="46"/>
      <c r="AM15" s="5"/>
      <c r="AN15" s="6"/>
      <c r="AO15" s="6"/>
      <c r="AP15" s="6"/>
      <c r="AQ15" s="6"/>
      <c r="AR15" s="7"/>
    </row>
    <row r="16" spans="1:46" x14ac:dyDescent="0.25">
      <c r="C16" s="5">
        <f>IF(C15=-1,-1, IF(C15&lt;income_max_row, C15+1, IF(C15=income_max_row, income_total_row,                                                                                                                                                                                       IF(C15=income_total_row, "/1",  IF(C15="/1",expenses_header_row,   IF(C15&lt;expenses_max_row,C15+1,                                                                                                                                                                       IF(C15=expenses_max_row,expenses_total_row,                     IF(C15=expenses_total_row, "/2",  IF(C15="/2",Savings_header_row,   IF(C15&lt;Savings_max_row,C15+1,                                                                                                                                                                       IF(C15=Savings_max_row,Savings_total_row,                     -1)))))))))))</f>
        <v>12</v>
      </c>
      <c r="D16" s="6">
        <f t="shared" si="0"/>
        <v>9</v>
      </c>
      <c r="E16" s="5">
        <f>1*OR(row_id=income_header_row,row_id=expenses_header_row,row_id=Savings_header_row)</f>
        <v>0</v>
      </c>
      <c r="F16" s="6">
        <f t="shared" si="1"/>
        <v>1</v>
      </c>
      <c r="G16" s="6">
        <f>1*OR(row_id=income_total_row,row_id=expenses_total_row, row_id=Savings_total_row)</f>
        <v>0</v>
      </c>
      <c r="H16" s="7">
        <f t="shared" si="2"/>
        <v>0</v>
      </c>
      <c r="I16" s="5" t="str">
        <f>IFERROR(INDEX('Budget Planning'!C:C, header_row_id),"")</f>
        <v>Income</v>
      </c>
      <c r="J16" s="6" t="str">
        <f>IFERROR(INDEX('Budget Planning'!C:C, row_id),"")</f>
        <v>Dividends</v>
      </c>
      <c r="K16"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50</v>
      </c>
      <c r="L16" s="78">
        <f>IF(OR(is_header, is_empty), "",
   INDEX('Budget Planning'!$E:$FA, row_id,  MATCH(IF(selected_period="Total Year", selected_year,DATE(selected_year,selected_period,1)), 'Budget Planning'!$E$9:$FA$9,0)))</f>
        <v>50</v>
      </c>
      <c r="M16" s="5">
        <f>IF(is_cat, IF(header_row_id=income_header_row,MATCH(income_min_row, $C:$C,0),    IF(header_row_id=expenses_header_row,MATCH(expenses_min_row, $C:$C,0),                 IF(header_row_id=Savings_header_row,MATCH(Savings_min_row, $C:$C,0),""))),"")</f>
        <v>14</v>
      </c>
      <c r="N16" s="7">
        <f>IF(is_cat, IF(header_row_id=income_header_row,MATCH(income_max_row, $C:$C,0),    IF(header_row_id=expenses_header_row,MATCH(expenses_max_row, $C:$C,0),                 IF(header_row_id=Savings_header_row,MATCH(Savings_max_row, $C:$C,0),""))),"")</f>
        <v>16</v>
      </c>
      <c r="O16" s="5" t="str">
        <f t="shared" si="3"/>
        <v>$K$14:$K$16</v>
      </c>
      <c r="P16" s="6">
        <f t="shared" ca="1" si="4"/>
        <v>3</v>
      </c>
      <c r="Q16" s="6" t="str">
        <f t="shared" si="5"/>
        <v>$L$14:$L$16</v>
      </c>
      <c r="R16" s="6">
        <f t="shared" ca="1" si="6"/>
        <v>3</v>
      </c>
      <c r="S16" s="5">
        <f t="shared" ca="1" si="7"/>
        <v>33</v>
      </c>
      <c r="T16" s="5">
        <f>IF(is_cat, IF(header_row_id=income_header_row,MATCH(income_min_row, $C:$C,0),    IF(header_row_id=expenses_header_row,MATCH(expenses_min_row, $C:$C,0),                 IF(header_row_id=Savings_header_row,MATCH(Savings_min_row, $C:$C,0),""))),"")</f>
        <v>14</v>
      </c>
      <c r="U16" s="7">
        <f>IF(is_cat, IF(header_row_id=income_header_row,MATCH(income_max_row, $C:$C,0),    IF(header_row_id=expenses_header_row,MATCH(expenses_max_row, $C:$C,0),                 IF(header_row_id=Savings_header_row,MATCH(Savings_max_row, $C:$C,0),""))),"")</f>
        <v>16</v>
      </c>
      <c r="V16" s="5" t="str">
        <f t="shared" si="8"/>
        <v>$K$14:$K$16</v>
      </c>
      <c r="W16" s="6">
        <f t="shared" ca="1" si="9"/>
        <v>3</v>
      </c>
      <c r="X16" s="80">
        <f t="shared" ca="1" si="10"/>
        <v>12</v>
      </c>
      <c r="Y16" s="81" t="str">
        <f t="shared" ca="1" si="11"/>
        <v>Dividends</v>
      </c>
      <c r="Z16" s="83">
        <f t="shared" ca="1" si="12"/>
        <v>50</v>
      </c>
      <c r="AA16" s="83">
        <f t="shared" ca="1" si="13"/>
        <v>50</v>
      </c>
      <c r="AB16" s="82">
        <f t="shared" ca="1" si="14"/>
        <v>1</v>
      </c>
      <c r="AC16" s="83">
        <f t="shared" ca="1" si="15"/>
        <v>0</v>
      </c>
      <c r="AD16" s="83">
        <f t="shared" ca="1" si="16"/>
        <v>0</v>
      </c>
      <c r="AF16" s="45"/>
      <c r="AG16" s="6"/>
      <c r="AH16" s="6"/>
      <c r="AI16" s="95" t="str">
        <f ca="1">Calculations!E35</f>
        <v>Employement</v>
      </c>
      <c r="AJ16" s="96">
        <f ca="1">Calculations!F35</f>
        <v>3500</v>
      </c>
      <c r="AK16" s="46"/>
      <c r="AM16" s="5"/>
      <c r="AN16" s="6"/>
      <c r="AO16" s="6"/>
      <c r="AP16" s="6"/>
      <c r="AQ16" s="6"/>
      <c r="AR16" s="7"/>
    </row>
    <row r="17" spans="3:44" x14ac:dyDescent="0.25">
      <c r="C17" s="5">
        <f>IF(C16=-1,-1, IF(C16&lt;income_max_row, C16+1, IF(C16=income_max_row, income_total_row,                                                                                                                                                                                       IF(C16=income_total_row, "/1",  IF(C16="/1",expenses_header_row,   IF(C16&lt;expenses_max_row,C16+1,                                                                                                                                                                       IF(C16=expenses_max_row,expenses_total_row,                     IF(C16=expenses_total_row, "/2",  IF(C16="/2",Savings_header_row,   IF(C16&lt;Savings_max_row,C16+1,                                                                                                                                                                       IF(C16=Savings_max_row,Savings_total_row,                     -1)))))))))))</f>
        <v>22</v>
      </c>
      <c r="D17" s="6">
        <f t="shared" si="0"/>
        <v>9</v>
      </c>
      <c r="E17" s="5">
        <f>1*OR(row_id=income_header_row,row_id=expenses_header_row,row_id=Savings_header_row)</f>
        <v>0</v>
      </c>
      <c r="F17" s="6">
        <f t="shared" si="1"/>
        <v>0</v>
      </c>
      <c r="G17" s="6">
        <f>1*OR(row_id=income_total_row,row_id=expenses_total_row, row_id=Savings_total_row)</f>
        <v>1</v>
      </c>
      <c r="H17" s="7">
        <f t="shared" si="2"/>
        <v>0</v>
      </c>
      <c r="I17" s="5" t="str">
        <f>IFERROR(INDEX('Budget Planning'!C:C, header_row_id),"")</f>
        <v>Income</v>
      </c>
      <c r="J17" s="6" t="str">
        <f>IFERROR(INDEX('Budget Planning'!C:C, row_id),"")</f>
        <v>Total</v>
      </c>
      <c r="K17"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4050</v>
      </c>
      <c r="L17" s="78">
        <f ca="1">IF(OR(is_header, is_empty), "",
   INDEX('Budget Planning'!$E:$FA, row_id,  MATCH(IF(selected_period="Total Year", selected_year,DATE(selected_year,selected_period,1)), 'Budget Planning'!$E$9:$FA$9,0)))</f>
        <v>4550</v>
      </c>
      <c r="M17" s="5" t="str">
        <f>IF(is_cat, IF(header_row_id=income_header_row,MATCH(income_min_row, $C:$C,0),    IF(header_row_id=expenses_header_row,MATCH(expenses_min_row, $C:$C,0),                 IF(header_row_id=Savings_header_row,MATCH(Savings_min_row, $C:$C,0),""))),"")</f>
        <v/>
      </c>
      <c r="N17" s="7" t="str">
        <f>IF(is_cat, IF(header_row_id=income_header_row,MATCH(income_max_row, $C:$C,0),    IF(header_row_id=expenses_header_row,MATCH(expenses_max_row, $C:$C,0),                 IF(header_row_id=Savings_header_row,MATCH(Savings_max_row, $C:$C,0),""))),"")</f>
        <v/>
      </c>
      <c r="O17" s="5" t="str">
        <f t="shared" si="3"/>
        <v/>
      </c>
      <c r="P17" s="6" t="str">
        <f t="shared" ca="1" si="4"/>
        <v/>
      </c>
      <c r="Q17" s="6" t="str">
        <f t="shared" si="5"/>
        <v/>
      </c>
      <c r="R17" s="6" t="str">
        <f t="shared" ca="1" si="6"/>
        <v/>
      </c>
      <c r="S17" s="5" t="str">
        <f t="shared" si="7"/>
        <v/>
      </c>
      <c r="T17" s="5" t="str">
        <f>IF(is_cat, IF(header_row_id=income_header_row,MATCH(income_min_row, $C:$C,0),    IF(header_row_id=expenses_header_row,MATCH(expenses_min_row, $C:$C,0),                 IF(header_row_id=Savings_header_row,MATCH(Savings_min_row, $C:$C,0),""))),"")</f>
        <v/>
      </c>
      <c r="U17" s="7" t="str">
        <f>IF(is_cat, IF(header_row_id=income_header_row,MATCH(income_max_row, $C:$C,0),    IF(header_row_id=expenses_header_row,MATCH(expenses_max_row, $C:$C,0),                 IF(header_row_id=Savings_header_row,MATCH(Savings_max_row, $C:$C,0),""))),"")</f>
        <v/>
      </c>
      <c r="V17" s="5" t="str">
        <f t="shared" si="8"/>
        <v/>
      </c>
      <c r="W17" s="6" t="str">
        <f t="shared" ca="1" si="9"/>
        <v/>
      </c>
      <c r="X17" s="80">
        <f t="shared" si="10"/>
        <v>22</v>
      </c>
      <c r="Y17" s="81" t="str">
        <f t="shared" ca="1" si="11"/>
        <v>Total</v>
      </c>
      <c r="Z17" s="83">
        <f t="shared" ca="1" si="12"/>
        <v>4050</v>
      </c>
      <c r="AA17" s="83">
        <f t="shared" ca="1" si="13"/>
        <v>4550</v>
      </c>
      <c r="AB17" s="82">
        <f t="shared" ca="1" si="14"/>
        <v>0.89010989010989006</v>
      </c>
      <c r="AC17" s="83">
        <f t="shared" ca="1" si="15"/>
        <v>500</v>
      </c>
      <c r="AD17" s="83">
        <f t="shared" ca="1" si="16"/>
        <v>0</v>
      </c>
      <c r="AF17" s="45"/>
      <c r="AG17" s="6"/>
      <c r="AH17" s="6"/>
      <c r="AI17" s="95" t="str">
        <f ca="1">Calculations!E36</f>
        <v>Side hustle</v>
      </c>
      <c r="AJ17" s="96">
        <f ca="1">Calculations!F36</f>
        <v>500</v>
      </c>
      <c r="AK17" s="46"/>
      <c r="AM17" s="5"/>
      <c r="AN17" s="6"/>
      <c r="AO17" s="6"/>
      <c r="AP17" s="6"/>
      <c r="AQ17" s="6"/>
      <c r="AR17" s="7"/>
    </row>
    <row r="18" spans="3:44" x14ac:dyDescent="0.25">
      <c r="C18" s="5" t="str">
        <f>IF(C17=-1,-1, IF(C17&lt;income_max_row, C17+1, IF(C17=income_max_row, income_total_row,                                                                                                                                                                                       IF(C17=income_total_row, "/1",  IF(C17="/1",expenses_header_row,   IF(C17&lt;expenses_max_row,C17+1,                                                                                                                                                                       IF(C17=expenses_max_row,expenses_total_row,                     IF(C17=expenses_total_row, "/2",  IF(C17="/2",Savings_header_row,   IF(C17&lt;Savings_max_row,C17+1,                                                                                                                                                                       IF(C17=Savings_max_row,Savings_total_row,                     -1)))))))))))</f>
        <v>/1</v>
      </c>
      <c r="D18" s="6">
        <f t="shared" si="0"/>
        <v>-1</v>
      </c>
      <c r="E18" s="5">
        <f>1*OR(row_id=income_header_row,row_id=expenses_header_row,row_id=Savings_header_row)</f>
        <v>0</v>
      </c>
      <c r="F18" s="6">
        <f t="shared" si="1"/>
        <v>0</v>
      </c>
      <c r="G18" s="6">
        <f>1*OR(row_id=income_total_row,row_id=expenses_total_row, row_id=Savings_total_row)</f>
        <v>0</v>
      </c>
      <c r="H18" s="7">
        <f t="shared" si="2"/>
        <v>1</v>
      </c>
      <c r="I18" s="5" t="str">
        <f>IFERROR(INDEX('Budget Planning'!C:C, header_row_id),"")</f>
        <v/>
      </c>
      <c r="J18" s="6" t="str">
        <f>IFERROR(INDEX('Budget Planning'!C:C, row_id),"")</f>
        <v/>
      </c>
      <c r="K18"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18" s="78" t="str">
        <f>IF(OR(is_header, is_empty), "",
   INDEX('Budget Planning'!$E:$FA, row_id,  MATCH(IF(selected_period="Total Year", selected_year,DATE(selected_year,selected_period,1)), 'Budget Planning'!$E$9:$FA$9,0)))</f>
        <v/>
      </c>
      <c r="M18" s="5" t="str">
        <f>IF(is_cat, IF(header_row_id=income_header_row,MATCH(income_min_row, $C:$C,0),    IF(header_row_id=expenses_header_row,MATCH(expenses_min_row, $C:$C,0),                 IF(header_row_id=Savings_header_row,MATCH(Savings_min_row, $C:$C,0),""))),"")</f>
        <v/>
      </c>
      <c r="N18" s="7" t="str">
        <f>IF(is_cat, IF(header_row_id=income_header_row,MATCH(income_max_row, $C:$C,0),    IF(header_row_id=expenses_header_row,MATCH(expenses_max_row, $C:$C,0),                 IF(header_row_id=Savings_header_row,MATCH(Savings_max_row, $C:$C,0),""))),"")</f>
        <v/>
      </c>
      <c r="O18" s="5" t="str">
        <f t="shared" si="3"/>
        <v/>
      </c>
      <c r="P18" s="6" t="str">
        <f t="shared" ca="1" si="4"/>
        <v/>
      </c>
      <c r="Q18" s="6" t="str">
        <f t="shared" si="5"/>
        <v/>
      </c>
      <c r="R18" s="6" t="str">
        <f t="shared" ca="1" si="6"/>
        <v/>
      </c>
      <c r="S18" s="5" t="str">
        <f t="shared" si="7"/>
        <v/>
      </c>
      <c r="T18" s="5" t="str">
        <f>IF(is_cat, IF(header_row_id=income_header_row,MATCH(income_min_row, $C:$C,0),    IF(header_row_id=expenses_header_row,MATCH(expenses_min_row, $C:$C,0),                 IF(header_row_id=Savings_header_row,MATCH(Savings_min_row, $C:$C,0),""))),"")</f>
        <v/>
      </c>
      <c r="U18" s="7" t="str">
        <f>IF(is_cat, IF(header_row_id=income_header_row,MATCH(income_max_row, $C:$C,0),    IF(header_row_id=expenses_header_row,MATCH(expenses_max_row, $C:$C,0),                 IF(header_row_id=Savings_header_row,MATCH(Savings_max_row, $C:$C,0),""))),"")</f>
        <v/>
      </c>
      <c r="V18" s="5" t="str">
        <f t="shared" si="8"/>
        <v/>
      </c>
      <c r="W18" s="6" t="str">
        <f t="shared" ca="1" si="9"/>
        <v/>
      </c>
      <c r="X18" s="80" t="str">
        <f t="shared" si="10"/>
        <v>/1</v>
      </c>
      <c r="Y18" s="81" t="str">
        <f t="shared" si="11"/>
        <v/>
      </c>
      <c r="Z18" s="83" t="str">
        <f t="shared" si="12"/>
        <v/>
      </c>
      <c r="AA18" s="83" t="str">
        <f t="shared" si="13"/>
        <v/>
      </c>
      <c r="AB18" s="82" t="str">
        <f t="shared" si="14"/>
        <v/>
      </c>
      <c r="AC18" s="83" t="str">
        <f t="shared" si="15"/>
        <v/>
      </c>
      <c r="AD18" s="83" t="str">
        <f t="shared" si="16"/>
        <v/>
      </c>
      <c r="AF18" s="45"/>
      <c r="AG18" s="6"/>
      <c r="AH18" s="6"/>
      <c r="AI18" s="95" t="str">
        <f ca="1">Calculations!E37</f>
        <v>Dividends</v>
      </c>
      <c r="AJ18" s="96">
        <f ca="1">Calculations!F37</f>
        <v>50</v>
      </c>
      <c r="AK18" s="46"/>
      <c r="AM18" s="5"/>
      <c r="AN18" s="6"/>
      <c r="AO18" s="6"/>
      <c r="AP18" s="6"/>
      <c r="AQ18" s="6"/>
      <c r="AR18" s="7"/>
    </row>
    <row r="19" spans="3:44" x14ac:dyDescent="0.25">
      <c r="C19" s="5">
        <f>IF(C18=-1,-1, IF(C18&lt;income_max_row, C18+1, IF(C18=income_max_row, income_total_row,                                                                                                                                                                                       IF(C18=income_total_row, "/1",  IF(C18="/1",expenses_header_row,   IF(C18&lt;expenses_max_row,C18+1,                                                                                                                                                                       IF(C18=expenses_max_row,expenses_total_row,                     IF(C18=expenses_total_row, "/2",  IF(C18="/2",Savings_header_row,   IF(C18&lt;Savings_max_row,C18+1,                                                                                                                                                                       IF(C18=Savings_max_row,Savings_total_row,                     -1)))))))))))</f>
        <v>25</v>
      </c>
      <c r="D19" s="6">
        <f t="shared" si="0"/>
        <v>25</v>
      </c>
      <c r="E19" s="5">
        <f>1*OR(row_id=income_header_row,row_id=expenses_header_row,row_id=Savings_header_row)</f>
        <v>1</v>
      </c>
      <c r="F19" s="6">
        <f t="shared" si="1"/>
        <v>0</v>
      </c>
      <c r="G19" s="6">
        <f>1*OR(row_id=income_total_row,row_id=expenses_total_row, row_id=Savings_total_row)</f>
        <v>0</v>
      </c>
      <c r="H19" s="7">
        <f t="shared" si="2"/>
        <v>0</v>
      </c>
      <c r="I19" s="5" t="str">
        <f>IFERROR(INDEX('Budget Planning'!C:C, header_row_id),"")</f>
        <v>Expenses</v>
      </c>
      <c r="J19" s="6" t="str">
        <f>IFERROR(INDEX('Budget Planning'!C:C, row_id),"")</f>
        <v>Expenses</v>
      </c>
      <c r="K19"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19" s="78" t="str">
        <f>IF(OR(is_header, is_empty), "",
   INDEX('Budget Planning'!$E:$FA, row_id,  MATCH(IF(selected_period="Total Year", selected_year,DATE(selected_year,selected_period,1)), 'Budget Planning'!$E$9:$FA$9,0)))</f>
        <v/>
      </c>
      <c r="M19" s="5" t="str">
        <f>IF(is_cat, IF(header_row_id=income_header_row,MATCH(income_min_row, $C:$C,0),    IF(header_row_id=expenses_header_row,MATCH(expenses_min_row, $C:$C,0),                 IF(header_row_id=Savings_header_row,MATCH(Savings_min_row, $C:$C,0),""))),"")</f>
        <v/>
      </c>
      <c r="N19" s="7" t="str">
        <f>IF(is_cat, IF(header_row_id=income_header_row,MATCH(income_max_row, $C:$C,0),    IF(header_row_id=expenses_header_row,MATCH(expenses_max_row, $C:$C,0),                 IF(header_row_id=Savings_header_row,MATCH(Savings_max_row, $C:$C,0),""))),"")</f>
        <v/>
      </c>
      <c r="O19" s="5" t="str">
        <f t="shared" si="3"/>
        <v/>
      </c>
      <c r="P19" s="6" t="str">
        <f t="shared" ca="1" si="4"/>
        <v/>
      </c>
      <c r="Q19" s="6" t="str">
        <f t="shared" si="5"/>
        <v/>
      </c>
      <c r="R19" s="6" t="str">
        <f t="shared" ca="1" si="6"/>
        <v/>
      </c>
      <c r="S19" s="5" t="str">
        <f t="shared" si="7"/>
        <v/>
      </c>
      <c r="T19" s="5" t="str">
        <f>IF(is_cat, IF(header_row_id=income_header_row,MATCH(income_min_row, $C:$C,0),    IF(header_row_id=expenses_header_row,MATCH(expenses_min_row, $C:$C,0),                 IF(header_row_id=Savings_header_row,MATCH(Savings_min_row, $C:$C,0),""))),"")</f>
        <v/>
      </c>
      <c r="U19" s="7" t="str">
        <f>IF(is_cat, IF(header_row_id=income_header_row,MATCH(income_max_row, $C:$C,0),    IF(header_row_id=expenses_header_row,MATCH(expenses_max_row, $C:$C,0),                 IF(header_row_id=Savings_header_row,MATCH(Savings_max_row, $C:$C,0),""))),"")</f>
        <v/>
      </c>
      <c r="V19" s="5" t="str">
        <f t="shared" si="8"/>
        <v/>
      </c>
      <c r="W19" s="6" t="str">
        <f t="shared" ca="1" si="9"/>
        <v/>
      </c>
      <c r="X19" s="80">
        <f t="shared" si="10"/>
        <v>25</v>
      </c>
      <c r="Y19" s="81" t="str">
        <f t="shared" ca="1" si="11"/>
        <v>Expenses</v>
      </c>
      <c r="Z19" s="83" t="str">
        <f t="shared" si="12"/>
        <v>Tracked</v>
      </c>
      <c r="AA19" s="83" t="str">
        <f t="shared" si="13"/>
        <v>Budget</v>
      </c>
      <c r="AB19" s="82" t="str">
        <f t="shared" si="14"/>
        <v>% Compl.</v>
      </c>
      <c r="AC19" s="83" t="str">
        <f t="shared" si="15"/>
        <v>Remaining</v>
      </c>
      <c r="AD19" s="83" t="str">
        <f t="shared" si="16"/>
        <v>Excess</v>
      </c>
      <c r="AF19" s="45"/>
      <c r="AG19" s="6"/>
      <c r="AH19" s="6"/>
      <c r="AI19" s="95" t="str">
        <f>Calculations!E38</f>
        <v/>
      </c>
      <c r="AJ19" s="96" t="str">
        <f>Calculations!F38</f>
        <v/>
      </c>
      <c r="AK19" s="46"/>
      <c r="AM19" s="5"/>
      <c r="AN19" s="6"/>
      <c r="AO19" s="6"/>
      <c r="AP19" s="6"/>
      <c r="AQ19" s="6"/>
      <c r="AR19" s="7"/>
    </row>
    <row r="20" spans="3:44" x14ac:dyDescent="0.25">
      <c r="C20" s="5">
        <f>IF(C19=-1,-1, IF(C19&lt;income_max_row, C19+1, IF(C19=income_max_row, income_total_row,                                                                                                                                                                                       IF(C19=income_total_row, "/1",  IF(C19="/1",expenses_header_row,   IF(C19&lt;expenses_max_row,C19+1,                                                                                                                                                                       IF(C19=expenses_max_row,expenses_total_row,                     IF(C19=expenses_total_row, "/2",  IF(C19="/2",Savings_header_row,   IF(C19&lt;Savings_max_row,C19+1,                                                                                                                                                                       IF(C19=Savings_max_row,Savings_total_row,                     -1)))))))))))</f>
        <v>26</v>
      </c>
      <c r="D20" s="6">
        <f t="shared" si="0"/>
        <v>25</v>
      </c>
      <c r="E20" s="5">
        <f>1*OR(row_id=income_header_row,row_id=expenses_header_row,row_id=Savings_header_row)</f>
        <v>0</v>
      </c>
      <c r="F20" s="6">
        <f t="shared" si="1"/>
        <v>1</v>
      </c>
      <c r="G20" s="6">
        <f>1*OR(row_id=income_total_row,row_id=expenses_total_row, row_id=Savings_total_row)</f>
        <v>0</v>
      </c>
      <c r="H20" s="7">
        <f t="shared" si="2"/>
        <v>0</v>
      </c>
      <c r="I20" s="5" t="str">
        <f>IFERROR(INDEX('Budget Planning'!C:C, header_row_id),"")</f>
        <v>Expenses</v>
      </c>
      <c r="J20" s="6" t="str">
        <f>IFERROR(INDEX('Budget Planning'!C:C, row_id),"")</f>
        <v>Housing</v>
      </c>
      <c r="K20"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1200</v>
      </c>
      <c r="L20" s="78">
        <f>IF(OR(is_header, is_empty), "",
   INDEX('Budget Planning'!$E:$FA, row_id,  MATCH(IF(selected_period="Total Year", selected_year,DATE(selected_year,selected_period,1)), 'Budget Planning'!$E$9:$FA$9,0)))</f>
        <v>1200</v>
      </c>
      <c r="M20" s="5">
        <f>IF(is_cat, IF(header_row_id=income_header_row,MATCH(income_min_row, $C:$C,0),    IF(header_row_id=expenses_header_row,MATCH(expenses_min_row, $C:$C,0),                 IF(header_row_id=Savings_header_row,MATCH(Savings_min_row, $C:$C,0),""))),"")</f>
        <v>20</v>
      </c>
      <c r="N20" s="7">
        <f>IF(is_cat, IF(header_row_id=income_header_row,MATCH(income_max_row, $C:$C,0),    IF(header_row_id=expenses_header_row,MATCH(expenses_max_row, $C:$C,0),                 IF(header_row_id=Savings_header_row,MATCH(Savings_max_row, $C:$C,0),""))),"")</f>
        <v>28</v>
      </c>
      <c r="O20" s="5" t="str">
        <f t="shared" si="3"/>
        <v>$K$20:$K$28</v>
      </c>
      <c r="P20" s="6">
        <f t="shared" ca="1" si="4"/>
        <v>1</v>
      </c>
      <c r="Q20" s="6" t="str">
        <f t="shared" si="5"/>
        <v>$L$20:$L$28</v>
      </c>
      <c r="R20" s="6">
        <f t="shared" ca="1" si="6"/>
        <v>1</v>
      </c>
      <c r="S20" s="5">
        <f t="shared" ca="1" si="7"/>
        <v>11</v>
      </c>
      <c r="T20" s="5">
        <f>IF(is_cat, IF(header_row_id=income_header_row,MATCH(income_min_row, $C:$C,0),    IF(header_row_id=expenses_header_row,MATCH(expenses_min_row, $C:$C,0),                 IF(header_row_id=Savings_header_row,MATCH(Savings_min_row, $C:$C,0),""))),"")</f>
        <v>20</v>
      </c>
      <c r="U20" s="7">
        <f>IF(is_cat, IF(header_row_id=income_header_row,MATCH(income_max_row, $C:$C,0),    IF(header_row_id=expenses_header_row,MATCH(expenses_max_row, $C:$C,0),                 IF(header_row_id=Savings_header_row,MATCH(Savings_max_row, $C:$C,0),""))),"")</f>
        <v>28</v>
      </c>
      <c r="V20" s="5" t="str">
        <f t="shared" si="8"/>
        <v>$K$20:$K$28</v>
      </c>
      <c r="W20" s="6">
        <f t="shared" ca="1" si="9"/>
        <v>1</v>
      </c>
      <c r="X20" s="80">
        <f t="shared" ca="1" si="10"/>
        <v>26</v>
      </c>
      <c r="Y20" s="81" t="str">
        <f t="shared" ca="1" si="11"/>
        <v>Housing</v>
      </c>
      <c r="Z20" s="83">
        <f t="shared" ca="1" si="12"/>
        <v>1200</v>
      </c>
      <c r="AA20" s="83">
        <f t="shared" ca="1" si="13"/>
        <v>1200</v>
      </c>
      <c r="AB20" s="82">
        <f t="shared" ca="1" si="14"/>
        <v>1</v>
      </c>
      <c r="AC20" s="83">
        <f t="shared" ca="1" si="15"/>
        <v>0</v>
      </c>
      <c r="AD20" s="83">
        <f t="shared" ca="1" si="16"/>
        <v>0</v>
      </c>
      <c r="AF20" s="45"/>
      <c r="AG20" s="6"/>
      <c r="AH20" s="6"/>
      <c r="AI20" s="95" t="str">
        <f>Calculations!E39</f>
        <v/>
      </c>
      <c r="AJ20" s="96" t="str">
        <f>Calculations!F39</f>
        <v/>
      </c>
      <c r="AK20" s="46"/>
      <c r="AM20" s="5"/>
      <c r="AN20" s="6"/>
      <c r="AO20" s="6"/>
      <c r="AP20" s="6"/>
      <c r="AQ20" s="6"/>
      <c r="AR20" s="7"/>
    </row>
    <row r="21" spans="3:44" x14ac:dyDescent="0.25">
      <c r="C21" s="5">
        <f>IF(C20=-1,-1, IF(C20&lt;income_max_row, C20+1, IF(C20=income_max_row, income_total_row,                                                                                                                                                                                       IF(C20=income_total_row, "/1",  IF(C20="/1",expenses_header_row,   IF(C20&lt;expenses_max_row,C20+1,                                                                                                                                                                       IF(C20=expenses_max_row,expenses_total_row,                     IF(C20=expenses_total_row, "/2",  IF(C20="/2",Savings_header_row,   IF(C20&lt;Savings_max_row,C20+1,                                                                                                                                                                       IF(C20=Savings_max_row,Savings_total_row,                     -1)))))))))))</f>
        <v>27</v>
      </c>
      <c r="D21" s="6">
        <f t="shared" si="0"/>
        <v>25</v>
      </c>
      <c r="E21" s="5">
        <f>1*OR(row_id=income_header_row,row_id=expenses_header_row,row_id=Savings_header_row)</f>
        <v>0</v>
      </c>
      <c r="F21" s="6">
        <f t="shared" si="1"/>
        <v>1</v>
      </c>
      <c r="G21" s="6">
        <f>1*OR(row_id=income_total_row,row_id=expenses_total_row, row_id=Savings_total_row)</f>
        <v>0</v>
      </c>
      <c r="H21" s="7">
        <f t="shared" si="2"/>
        <v>0</v>
      </c>
      <c r="I21" s="5" t="str">
        <f>IFERROR(INDEX('Budget Planning'!C:C, header_row_id),"")</f>
        <v>Expenses</v>
      </c>
      <c r="J21" s="6" t="str">
        <f>IFERROR(INDEX('Budget Planning'!C:C, row_id),"")</f>
        <v>Utilities</v>
      </c>
      <c r="K21"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300</v>
      </c>
      <c r="L21" s="78">
        <f>IF(OR(is_header, is_empty), "",
   INDEX('Budget Planning'!$E:$FA, row_id,  MATCH(IF(selected_period="Total Year", selected_year,DATE(selected_year,selected_period,1)), 'Budget Planning'!$E$9:$FA$9,0)))</f>
        <v>300</v>
      </c>
      <c r="M21" s="5">
        <f>IF(is_cat, IF(header_row_id=income_header_row,MATCH(income_min_row, $C:$C,0),    IF(header_row_id=expenses_header_row,MATCH(expenses_min_row, $C:$C,0),                 IF(header_row_id=Savings_header_row,MATCH(Savings_min_row, $C:$C,0),""))),"")</f>
        <v>20</v>
      </c>
      <c r="N21" s="7">
        <f>IF(is_cat, IF(header_row_id=income_header_row,MATCH(income_max_row, $C:$C,0),    IF(header_row_id=expenses_header_row,MATCH(expenses_max_row, $C:$C,0),                 IF(header_row_id=Savings_header_row,MATCH(Savings_max_row, $C:$C,0),""))),"")</f>
        <v>28</v>
      </c>
      <c r="O21" s="5" t="str">
        <f t="shared" si="3"/>
        <v>$K$20:$K$28</v>
      </c>
      <c r="P21" s="6">
        <f t="shared" ca="1" si="4"/>
        <v>4</v>
      </c>
      <c r="Q21" s="6" t="str">
        <f t="shared" si="5"/>
        <v>$L$20:$L$28</v>
      </c>
      <c r="R21" s="6">
        <f t="shared" ca="1" si="6"/>
        <v>3</v>
      </c>
      <c r="S21" s="5">
        <f t="shared" ca="1" si="7"/>
        <v>43</v>
      </c>
      <c r="T21" s="5">
        <f>IF(is_cat, IF(header_row_id=income_header_row,MATCH(income_min_row, $C:$C,0),    IF(header_row_id=expenses_header_row,MATCH(expenses_min_row, $C:$C,0),                 IF(header_row_id=Savings_header_row,MATCH(Savings_min_row, $C:$C,0),""))),"")</f>
        <v>20</v>
      </c>
      <c r="U21" s="7">
        <f>IF(is_cat, IF(header_row_id=income_header_row,MATCH(income_max_row, $C:$C,0),    IF(header_row_id=expenses_header_row,MATCH(expenses_max_row, $C:$C,0),                 IF(header_row_id=Savings_header_row,MATCH(Savings_max_row, $C:$C,0),""))),"")</f>
        <v>28</v>
      </c>
      <c r="V21" s="5" t="str">
        <f t="shared" si="8"/>
        <v>$K$20:$K$28</v>
      </c>
      <c r="W21" s="6">
        <f t="shared" ca="1" si="9"/>
        <v>4</v>
      </c>
      <c r="X21" s="80">
        <f t="shared" ca="1" si="10"/>
        <v>29</v>
      </c>
      <c r="Y21" s="81" t="str">
        <f t="shared" ca="1" si="11"/>
        <v>Groceries</v>
      </c>
      <c r="Z21" s="83">
        <f t="shared" ca="1" si="12"/>
        <v>400</v>
      </c>
      <c r="AA21" s="83">
        <f t="shared" ca="1" si="13"/>
        <v>350</v>
      </c>
      <c r="AB21" s="82">
        <f t="shared" ca="1" si="14"/>
        <v>1.1428571428571428</v>
      </c>
      <c r="AC21" s="83">
        <f t="shared" ca="1" si="15"/>
        <v>0</v>
      </c>
      <c r="AD21" s="83">
        <f t="shared" ca="1" si="16"/>
        <v>50</v>
      </c>
      <c r="AF21" s="45"/>
      <c r="AG21" s="6"/>
      <c r="AH21" s="6"/>
      <c r="AI21" s="95" t="str">
        <f ca="1">Calculations!E40</f>
        <v/>
      </c>
      <c r="AJ21" s="96" t="str">
        <f ca="1">Calculations!F40</f>
        <v/>
      </c>
      <c r="AK21" s="46"/>
      <c r="AM21" s="5"/>
      <c r="AN21" s="6"/>
      <c r="AO21" s="6"/>
      <c r="AP21" s="6"/>
      <c r="AQ21" s="6"/>
      <c r="AR21" s="7"/>
    </row>
    <row r="22" spans="3:44" x14ac:dyDescent="0.25">
      <c r="C22" s="5">
        <f>IF(C21=-1,-1, IF(C21&lt;income_max_row, C21+1, IF(C21=income_max_row, income_total_row,                                                                                                                                                                                       IF(C21=income_total_row, "/1",  IF(C21="/1",expenses_header_row,   IF(C21&lt;expenses_max_row,C21+1,                                                                                                                                                                       IF(C21=expenses_max_row,expenses_total_row,                     IF(C21=expenses_total_row, "/2",  IF(C21="/2",Savings_header_row,   IF(C21&lt;Savings_max_row,C21+1,                                                                                                                                                                       IF(C21=Savings_max_row,Savings_total_row,                     -1)))))))))))</f>
        <v>28</v>
      </c>
      <c r="D22" s="6">
        <f t="shared" si="0"/>
        <v>25</v>
      </c>
      <c r="E22" s="5">
        <f>1*OR(row_id=income_header_row,row_id=expenses_header_row,row_id=Savings_header_row)</f>
        <v>0</v>
      </c>
      <c r="F22" s="6">
        <f t="shared" si="1"/>
        <v>1</v>
      </c>
      <c r="G22" s="6">
        <f>1*OR(row_id=income_total_row,row_id=expenses_total_row, row_id=Savings_total_row)</f>
        <v>0</v>
      </c>
      <c r="H22" s="7">
        <f t="shared" si="2"/>
        <v>0</v>
      </c>
      <c r="I22" s="5" t="str">
        <f>IFERROR(INDEX('Budget Planning'!C:C, header_row_id),"")</f>
        <v>Expenses</v>
      </c>
      <c r="J22" s="6" t="str">
        <f>IFERROR(INDEX('Budget Planning'!C:C, row_id),"")</f>
        <v>Groceries</v>
      </c>
      <c r="K22"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400</v>
      </c>
      <c r="L22" s="78">
        <f>IF(OR(is_header, is_empty), "",
   INDEX('Budget Planning'!$E:$FA, row_id,  MATCH(IF(selected_period="Total Year", selected_year,DATE(selected_year,selected_period,1)), 'Budget Planning'!$E$9:$FA$9,0)))</f>
        <v>350</v>
      </c>
      <c r="M22" s="5">
        <f>IF(is_cat, IF(header_row_id=income_header_row,MATCH(income_min_row, $C:$C,0),    IF(header_row_id=expenses_header_row,MATCH(expenses_min_row, $C:$C,0),                 IF(header_row_id=Savings_header_row,MATCH(Savings_min_row, $C:$C,0),""))),"")</f>
        <v>20</v>
      </c>
      <c r="N22" s="7">
        <f>IF(is_cat, IF(header_row_id=income_header_row,MATCH(income_max_row, $C:$C,0),    IF(header_row_id=expenses_header_row,MATCH(expenses_max_row, $C:$C,0),                 IF(header_row_id=Savings_header_row,MATCH(Savings_max_row, $C:$C,0),""))),"")</f>
        <v>28</v>
      </c>
      <c r="O22" s="5" t="str">
        <f t="shared" si="3"/>
        <v>$K$20:$K$28</v>
      </c>
      <c r="P22" s="6">
        <f t="shared" ca="1" si="4"/>
        <v>2</v>
      </c>
      <c r="Q22" s="6" t="str">
        <f t="shared" si="5"/>
        <v>$L$20:$L$28</v>
      </c>
      <c r="R22" s="6">
        <f t="shared" ca="1" si="6"/>
        <v>2</v>
      </c>
      <c r="S22" s="5">
        <f t="shared" ca="1" si="7"/>
        <v>22</v>
      </c>
      <c r="T22" s="5">
        <f>IF(is_cat, IF(header_row_id=income_header_row,MATCH(income_min_row, $C:$C,0),    IF(header_row_id=expenses_header_row,MATCH(expenses_min_row, $C:$C,0),                 IF(header_row_id=Savings_header_row,MATCH(Savings_min_row, $C:$C,0),""))),"")</f>
        <v>20</v>
      </c>
      <c r="U22" s="7">
        <f>IF(is_cat, IF(header_row_id=income_header_row,MATCH(income_max_row, $C:$C,0),    IF(header_row_id=expenses_header_row,MATCH(expenses_max_row, $C:$C,0),                 IF(header_row_id=Savings_header_row,MATCH(Savings_max_row, $C:$C,0),""))),"")</f>
        <v>28</v>
      </c>
      <c r="V22" s="5" t="str">
        <f t="shared" si="8"/>
        <v>$K$20:$K$28</v>
      </c>
      <c r="W22" s="6">
        <f t="shared" ca="1" si="9"/>
        <v>2</v>
      </c>
      <c r="X22" s="80">
        <f t="shared" ca="1" si="10"/>
        <v>27</v>
      </c>
      <c r="Y22" s="81" t="str">
        <f t="shared" ca="1" si="11"/>
        <v>Transportation</v>
      </c>
      <c r="Z22" s="83">
        <f t="shared" ca="1" si="12"/>
        <v>380</v>
      </c>
      <c r="AA22" s="83">
        <f t="shared" ca="1" si="13"/>
        <v>300</v>
      </c>
      <c r="AB22" s="82">
        <f t="shared" ca="1" si="14"/>
        <v>1.2666666666666666</v>
      </c>
      <c r="AC22" s="83">
        <f t="shared" ca="1" si="15"/>
        <v>0</v>
      </c>
      <c r="AD22" s="83">
        <f t="shared" ca="1" si="16"/>
        <v>80</v>
      </c>
      <c r="AF22" s="45"/>
      <c r="AG22" s="6"/>
      <c r="AH22" s="6"/>
      <c r="AI22" s="97" t="str">
        <f>Calculations!E41</f>
        <v>Total</v>
      </c>
      <c r="AJ22" s="98">
        <f ca="1">Calculations!F41</f>
        <v>4050</v>
      </c>
      <c r="AK22" s="46"/>
      <c r="AM22" s="5"/>
      <c r="AN22" s="6"/>
      <c r="AO22" s="6"/>
      <c r="AP22" s="6"/>
      <c r="AQ22" s="6"/>
      <c r="AR22" s="7"/>
    </row>
    <row r="23" spans="3:44" x14ac:dyDescent="0.25">
      <c r="C23" s="5">
        <f>IF(C22=-1,-1, IF(C22&lt;income_max_row, C22+1, IF(C22=income_max_row, income_total_row,                                                                                                                                                                                       IF(C22=income_total_row, "/1",  IF(C22="/1",expenses_header_row,   IF(C22&lt;expenses_max_row,C22+1,                                                                                                                                                                       IF(C22=expenses_max_row,expenses_total_row,                     IF(C22=expenses_total_row, "/2",  IF(C22="/2",Savings_header_row,   IF(C22&lt;Savings_max_row,C22+1,                                                                                                                                                                       IF(C22=Savings_max_row,Savings_total_row,                     -1)))))))))))</f>
        <v>29</v>
      </c>
      <c r="D23" s="6">
        <f t="shared" si="0"/>
        <v>25</v>
      </c>
      <c r="E23" s="5">
        <f>1*OR(row_id=income_header_row,row_id=expenses_header_row,row_id=Savings_header_row)</f>
        <v>0</v>
      </c>
      <c r="F23" s="6">
        <f t="shared" si="1"/>
        <v>1</v>
      </c>
      <c r="G23" s="6">
        <f>1*OR(row_id=income_total_row,row_id=expenses_total_row, row_id=Savings_total_row)</f>
        <v>0</v>
      </c>
      <c r="H23" s="7">
        <f t="shared" si="2"/>
        <v>0</v>
      </c>
      <c r="I23" s="5" t="str">
        <f>IFERROR(INDEX('Budget Planning'!C:C, header_row_id),"")</f>
        <v>Expenses</v>
      </c>
      <c r="J23" s="6" t="str">
        <f>IFERROR(INDEX('Budget Planning'!C:C, row_id),"")</f>
        <v>Transportation</v>
      </c>
      <c r="K23"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380</v>
      </c>
      <c r="L23" s="78">
        <f>IF(OR(is_header, is_empty), "",
   INDEX('Budget Planning'!$E:$FA, row_id,  MATCH(IF(selected_period="Total Year", selected_year,DATE(selected_year,selected_period,1)), 'Budget Planning'!$E$9:$FA$9,0)))</f>
        <v>300</v>
      </c>
      <c r="M23" s="5">
        <f>IF(is_cat, IF(header_row_id=income_header_row,MATCH(income_min_row, $C:$C,0),    IF(header_row_id=expenses_header_row,MATCH(expenses_min_row, $C:$C,0),                 IF(header_row_id=Savings_header_row,MATCH(Savings_min_row, $C:$C,0),""))),"")</f>
        <v>20</v>
      </c>
      <c r="N23" s="7">
        <f>IF(is_cat, IF(header_row_id=income_header_row,MATCH(income_max_row, $C:$C,0),    IF(header_row_id=expenses_header_row,MATCH(expenses_max_row, $C:$C,0),                 IF(header_row_id=Savings_header_row,MATCH(Savings_max_row, $C:$C,0),""))),"")</f>
        <v>28</v>
      </c>
      <c r="O23" s="5" t="str">
        <f t="shared" si="3"/>
        <v>$K$20:$K$28</v>
      </c>
      <c r="P23" s="6">
        <f t="shared" ca="1" si="4"/>
        <v>3</v>
      </c>
      <c r="Q23" s="6" t="str">
        <f t="shared" si="5"/>
        <v>$L$20:$L$28</v>
      </c>
      <c r="R23" s="6">
        <f t="shared" ca="1" si="6"/>
        <v>3</v>
      </c>
      <c r="S23" s="5">
        <f t="shared" ca="1" si="7"/>
        <v>33</v>
      </c>
      <c r="T23" s="5">
        <f>IF(is_cat, IF(header_row_id=income_header_row,MATCH(income_min_row, $C:$C,0),    IF(header_row_id=expenses_header_row,MATCH(expenses_min_row, $C:$C,0),                 IF(header_row_id=Savings_header_row,MATCH(Savings_min_row, $C:$C,0),""))),"")</f>
        <v>20</v>
      </c>
      <c r="U23" s="7">
        <f>IF(is_cat, IF(header_row_id=income_header_row,MATCH(income_max_row, $C:$C,0),    IF(header_row_id=expenses_header_row,MATCH(expenses_max_row, $C:$C,0),                 IF(header_row_id=Savings_header_row,MATCH(Savings_max_row, $C:$C,0),""))),"")</f>
        <v>28</v>
      </c>
      <c r="V23" s="5" t="str">
        <f t="shared" si="8"/>
        <v>$K$20:$K$28</v>
      </c>
      <c r="W23" s="6">
        <f t="shared" ca="1" si="9"/>
        <v>3</v>
      </c>
      <c r="X23" s="80">
        <f t="shared" ca="1" si="10"/>
        <v>28</v>
      </c>
      <c r="Y23" s="81" t="str">
        <f t="shared" ca="1" si="11"/>
        <v>Utilities</v>
      </c>
      <c r="Z23" s="83">
        <f t="shared" ca="1" si="12"/>
        <v>300</v>
      </c>
      <c r="AA23" s="83">
        <f t="shared" ca="1" si="13"/>
        <v>300</v>
      </c>
      <c r="AB23" s="82">
        <f t="shared" ca="1" si="14"/>
        <v>1</v>
      </c>
      <c r="AC23" s="83">
        <f t="shared" ca="1" si="15"/>
        <v>0</v>
      </c>
      <c r="AD23" s="83">
        <f t="shared" ca="1" si="16"/>
        <v>0</v>
      </c>
      <c r="AF23" s="45"/>
      <c r="AG23" s="6"/>
      <c r="AH23" s="6"/>
      <c r="AI23" s="6"/>
      <c r="AJ23" s="6"/>
      <c r="AK23" s="46"/>
      <c r="AM23" s="5"/>
      <c r="AN23" s="6"/>
      <c r="AO23" s="6"/>
      <c r="AP23" s="6"/>
      <c r="AQ23" s="6"/>
      <c r="AR23" s="7"/>
    </row>
    <row r="24" spans="3:44" x14ac:dyDescent="0.25">
      <c r="C24" s="5">
        <f>IF(C23=-1,-1, IF(C23&lt;income_max_row, C23+1, IF(C23=income_max_row, income_total_row,                                                                                                                                                                                       IF(C23=income_total_row, "/1",  IF(C23="/1",expenses_header_row,   IF(C23&lt;expenses_max_row,C23+1,                                                                                                                                                                       IF(C23=expenses_max_row,expenses_total_row,                     IF(C23=expenses_total_row, "/2",  IF(C23="/2",Savings_header_row,   IF(C23&lt;Savings_max_row,C23+1,                                                                                                                                                                       IF(C23=Savings_max_row,Savings_total_row,                     -1)))))))))))</f>
        <v>30</v>
      </c>
      <c r="D24" s="6">
        <f t="shared" si="0"/>
        <v>25</v>
      </c>
      <c r="E24" s="5">
        <f>1*OR(row_id=income_header_row,row_id=expenses_header_row,row_id=Savings_header_row)</f>
        <v>0</v>
      </c>
      <c r="F24" s="6">
        <f t="shared" si="1"/>
        <v>1</v>
      </c>
      <c r="G24" s="6">
        <f>1*OR(row_id=income_total_row,row_id=expenses_total_row, row_id=Savings_total_row)</f>
        <v>0</v>
      </c>
      <c r="H24" s="7">
        <f t="shared" si="2"/>
        <v>0</v>
      </c>
      <c r="I24" s="5" t="str">
        <f>IFERROR(INDEX('Budget Planning'!C:C, header_row_id),"")</f>
        <v>Expenses</v>
      </c>
      <c r="J24" s="6" t="str">
        <f>IFERROR(INDEX('Budget Planning'!C:C, row_id),"")</f>
        <v>Insurances</v>
      </c>
      <c r="K24"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0</v>
      </c>
      <c r="L24" s="78" t="str">
        <f>IF(OR(is_header, is_empty), "",
   INDEX('Budget Planning'!$E:$FA, row_id,  MATCH(IF(selected_period="Total Year", selected_year,DATE(selected_year,selected_period,1)), 'Budget Planning'!$E$9:$FA$9,0)))</f>
        <v xml:space="preserve">              -</v>
      </c>
      <c r="M24" s="5">
        <f>IF(is_cat, IF(header_row_id=income_header_row,MATCH(income_min_row, $C:$C,0),    IF(header_row_id=expenses_header_row,MATCH(expenses_min_row, $C:$C,0),                 IF(header_row_id=Savings_header_row,MATCH(Savings_min_row, $C:$C,0),""))),"")</f>
        <v>20</v>
      </c>
      <c r="N24" s="7">
        <f>IF(is_cat, IF(header_row_id=income_header_row,MATCH(income_max_row, $C:$C,0),    IF(header_row_id=expenses_header_row,MATCH(expenses_max_row, $C:$C,0),                 IF(header_row_id=Savings_header_row,MATCH(Savings_max_row, $C:$C,0),""))),"")</f>
        <v>28</v>
      </c>
      <c r="O24" s="5" t="str">
        <f t="shared" si="3"/>
        <v>$K$20:$K$28</v>
      </c>
      <c r="P24" s="6">
        <f t="shared" ca="1" si="4"/>
        <v>9</v>
      </c>
      <c r="Q24" s="6" t="str">
        <f t="shared" si="5"/>
        <v>$L$20:$L$28</v>
      </c>
      <c r="R24" s="6" t="e">
        <f t="shared" ca="1" si="6"/>
        <v>#VALUE!</v>
      </c>
      <c r="S24" s="5" t="e">
        <f t="shared" ca="1" si="7"/>
        <v>#VALUE!</v>
      </c>
      <c r="T24" s="5">
        <f>IF(is_cat, IF(header_row_id=income_header_row,MATCH(income_min_row, $C:$C,0),    IF(header_row_id=expenses_header_row,MATCH(expenses_min_row, $C:$C,0),                 IF(header_row_id=Savings_header_row,MATCH(Savings_min_row, $C:$C,0),""))),"")</f>
        <v>20</v>
      </c>
      <c r="U24" s="7">
        <f>IF(is_cat, IF(header_row_id=income_header_row,MATCH(income_max_row, $C:$C,0),    IF(header_row_id=expenses_header_row,MATCH(expenses_max_row, $C:$C,0),                 IF(header_row_id=Savings_header_row,MATCH(Savings_max_row, $C:$C,0),""))),"")</f>
        <v>28</v>
      </c>
      <c r="V24" s="5" t="str">
        <f t="shared" si="8"/>
        <v>$K$20:$K$28</v>
      </c>
      <c r="W24" s="6">
        <f t="shared" ca="1" si="9"/>
        <v>9</v>
      </c>
      <c r="X24" s="80">
        <f t="shared" ca="1" si="10"/>
        <v>34</v>
      </c>
      <c r="Y24" s="81" t="str">
        <f t="shared" ca="1" si="11"/>
        <v>Body Care &amp; Medicine</v>
      </c>
      <c r="Z24" s="83">
        <f t="shared" ca="1" si="12"/>
        <v>270</v>
      </c>
      <c r="AA24" s="83">
        <f t="shared" ca="1" si="13"/>
        <v>200</v>
      </c>
      <c r="AB24" s="82">
        <f t="shared" ca="1" si="14"/>
        <v>1.35</v>
      </c>
      <c r="AC24" s="83">
        <f t="shared" ca="1" si="15"/>
        <v>0</v>
      </c>
      <c r="AD24" s="83">
        <f t="shared" ca="1" si="16"/>
        <v>70</v>
      </c>
      <c r="AF24" s="47"/>
      <c r="AG24" s="48"/>
      <c r="AH24" s="48"/>
      <c r="AI24" s="48"/>
      <c r="AJ24" s="48"/>
      <c r="AK24" s="49"/>
      <c r="AM24" s="11"/>
      <c r="AN24" s="12"/>
      <c r="AO24" s="12"/>
      <c r="AP24" s="12"/>
      <c r="AQ24" s="12"/>
      <c r="AR24" s="13"/>
    </row>
    <row r="25" spans="3:44" x14ac:dyDescent="0.25">
      <c r="C25" s="5">
        <f>IF(C24=-1,-1, IF(C24&lt;income_max_row, C24+1, IF(C24=income_max_row, income_total_row,                                                                                                                                                                                       IF(C24=income_total_row, "/1",  IF(C24="/1",expenses_header_row,   IF(C24&lt;expenses_max_row,C24+1,                                                                                                                                                                       IF(C24=expenses_max_row,expenses_total_row,                     IF(C24=expenses_total_row, "/2",  IF(C24="/2",Savings_header_row,   IF(C24&lt;Savings_max_row,C24+1,                                                                                                                                                                       IF(C24=Savings_max_row,Savings_total_row,                     -1)))))))))))</f>
        <v>31</v>
      </c>
      <c r="D25" s="6">
        <f t="shared" si="0"/>
        <v>25</v>
      </c>
      <c r="E25" s="5">
        <f>1*OR(row_id=income_header_row,row_id=expenses_header_row,row_id=Savings_header_row)</f>
        <v>0</v>
      </c>
      <c r="F25" s="6">
        <f t="shared" si="1"/>
        <v>1</v>
      </c>
      <c r="G25" s="6">
        <f>1*OR(row_id=income_total_row,row_id=expenses_total_row, row_id=Savings_total_row)</f>
        <v>0</v>
      </c>
      <c r="H25" s="7">
        <f t="shared" si="2"/>
        <v>0</v>
      </c>
      <c r="I25" s="5" t="str">
        <f>IFERROR(INDEX('Budget Planning'!C:C, header_row_id),"")</f>
        <v>Expenses</v>
      </c>
      <c r="J25" s="6" t="str">
        <f>IFERROR(INDEX('Budget Planning'!C:C, row_id),"")</f>
        <v>Clothing</v>
      </c>
      <c r="K25"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140</v>
      </c>
      <c r="L25" s="78">
        <f>IF(OR(is_header, is_empty), "",
   INDEX('Budget Planning'!$E:$FA, row_id,  MATCH(IF(selected_period="Total Year", selected_year,DATE(selected_year,selected_period,1)), 'Budget Planning'!$E$9:$FA$9,0)))</f>
        <v>200</v>
      </c>
      <c r="M25" s="5">
        <f>IF(is_cat, IF(header_row_id=income_header_row,MATCH(income_min_row, $C:$C,0),    IF(header_row_id=expenses_header_row,MATCH(expenses_min_row, $C:$C,0),                 IF(header_row_id=Savings_header_row,MATCH(Savings_min_row, $C:$C,0),""))),"")</f>
        <v>20</v>
      </c>
      <c r="N25" s="7">
        <f>IF(is_cat, IF(header_row_id=income_header_row,MATCH(income_max_row, $C:$C,0),    IF(header_row_id=expenses_header_row,MATCH(expenses_max_row, $C:$C,0),                 IF(header_row_id=Savings_header_row,MATCH(Savings_max_row, $C:$C,0),""))),"")</f>
        <v>28</v>
      </c>
      <c r="O25" s="5" t="str">
        <f t="shared" si="3"/>
        <v>$K$20:$K$28</v>
      </c>
      <c r="P25" s="6">
        <f t="shared" ca="1" si="4"/>
        <v>7</v>
      </c>
      <c r="Q25" s="6" t="str">
        <f t="shared" si="5"/>
        <v>$L$20:$L$28</v>
      </c>
      <c r="R25" s="6">
        <f t="shared" ca="1" si="6"/>
        <v>6</v>
      </c>
      <c r="S25" s="5">
        <f t="shared" ca="1" si="7"/>
        <v>76</v>
      </c>
      <c r="T25" s="5">
        <f>IF(is_cat, IF(header_row_id=income_header_row,MATCH(income_min_row, $C:$C,0),    IF(header_row_id=expenses_header_row,MATCH(expenses_min_row, $C:$C,0),                 IF(header_row_id=Savings_header_row,MATCH(Savings_min_row, $C:$C,0),""))),"")</f>
        <v>20</v>
      </c>
      <c r="U25" s="7">
        <f>IF(is_cat, IF(header_row_id=income_header_row,MATCH(income_max_row, $C:$C,0),    IF(header_row_id=expenses_header_row,MATCH(expenses_max_row, $C:$C,0),                 IF(header_row_id=Savings_header_row,MATCH(Savings_max_row, $C:$C,0),""))),"")</f>
        <v>28</v>
      </c>
      <c r="V25" s="5" t="str">
        <f t="shared" si="8"/>
        <v>$K$20:$K$28</v>
      </c>
      <c r="W25" s="6">
        <f t="shared" ca="1" si="9"/>
        <v>7</v>
      </c>
      <c r="X25" s="80">
        <f t="shared" ca="1" si="10"/>
        <v>32</v>
      </c>
      <c r="Y25" s="81" t="str">
        <f ca="1">IF(is_empty,"",INDEX($J:$J, MATCH(row_id, $X:$X, 0)))</f>
        <v>Fun &amp; Vacation</v>
      </c>
      <c r="Z25" s="83">
        <f t="shared" ca="1" si="12"/>
        <v>250</v>
      </c>
      <c r="AA25" s="83">
        <f t="shared" ca="1" si="13"/>
        <v>300</v>
      </c>
      <c r="AB25" s="82">
        <f t="shared" ca="1" si="14"/>
        <v>0.83333333333333337</v>
      </c>
      <c r="AC25" s="83">
        <f t="shared" ca="1" si="15"/>
        <v>50</v>
      </c>
      <c r="AD25" s="83">
        <f t="shared" ca="1" si="16"/>
        <v>0</v>
      </c>
    </row>
    <row r="26" spans="3:44" x14ac:dyDescent="0.25">
      <c r="C26" s="5">
        <f>IF(C25=-1,-1, IF(C25&lt;income_max_row, C25+1, IF(C25=income_max_row, income_total_row,                                                                                                                                                                                       IF(C25=income_total_row, "/1",  IF(C25="/1",expenses_header_row,   IF(C25&lt;expenses_max_row,C25+1,                                                                                                                                                                       IF(C25=expenses_max_row,expenses_total_row,                     IF(C25=expenses_total_row, "/2",  IF(C25="/2",Savings_header_row,   IF(C25&lt;Savings_max_row,C25+1,                                                                                                                                                                       IF(C25=Savings_max_row,Savings_total_row,                     -1)))))))))))</f>
        <v>32</v>
      </c>
      <c r="D26" s="6">
        <f t="shared" si="0"/>
        <v>25</v>
      </c>
      <c r="E26" s="5">
        <f>1*OR(row_id=income_header_row,row_id=expenses_header_row,row_id=Savings_header_row)</f>
        <v>0</v>
      </c>
      <c r="F26" s="6">
        <f t="shared" si="1"/>
        <v>1</v>
      </c>
      <c r="G26" s="6">
        <f>1*OR(row_id=income_total_row,row_id=expenses_total_row, row_id=Savings_total_row)</f>
        <v>0</v>
      </c>
      <c r="H26" s="7">
        <f t="shared" si="2"/>
        <v>0</v>
      </c>
      <c r="I26" s="5" t="str">
        <f>IFERROR(INDEX('Budget Planning'!C:C, header_row_id),"")</f>
        <v>Expenses</v>
      </c>
      <c r="J26" s="6" t="str">
        <f>IFERROR(INDEX('Budget Planning'!C:C, row_id),"")</f>
        <v>Body Care &amp; Medicine</v>
      </c>
      <c r="K26"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270</v>
      </c>
      <c r="L26" s="78">
        <f>IF(OR(is_header, is_empty), "",
   INDEX('Budget Planning'!$E:$FA, row_id,  MATCH(IF(selected_period="Total Year", selected_year,DATE(selected_year,selected_period,1)), 'Budget Planning'!$E$9:$FA$9,0)))</f>
        <v>200</v>
      </c>
      <c r="M26" s="5">
        <f>IF(is_cat, IF(header_row_id=income_header_row,MATCH(income_min_row, $C:$C,0),    IF(header_row_id=expenses_header_row,MATCH(expenses_min_row, $C:$C,0),                 IF(header_row_id=Savings_header_row,MATCH(Savings_min_row, $C:$C,0),""))),"")</f>
        <v>20</v>
      </c>
      <c r="N26" s="7">
        <f>IF(is_cat, IF(header_row_id=income_header_row,MATCH(income_max_row, $C:$C,0),    IF(header_row_id=expenses_header_row,MATCH(expenses_max_row, $C:$C,0),                 IF(header_row_id=Savings_header_row,MATCH(Savings_max_row, $C:$C,0),""))),"")</f>
        <v>28</v>
      </c>
      <c r="O26" s="5" t="str">
        <f t="shared" si="3"/>
        <v>$K$20:$K$28</v>
      </c>
      <c r="P26" s="6">
        <f t="shared" ca="1" si="4"/>
        <v>5</v>
      </c>
      <c r="Q26" s="6" t="str">
        <f t="shared" si="5"/>
        <v>$L$20:$L$28</v>
      </c>
      <c r="R26" s="6">
        <f t="shared" ca="1" si="6"/>
        <v>6</v>
      </c>
      <c r="S26" s="5">
        <f t="shared" ca="1" si="7"/>
        <v>56</v>
      </c>
      <c r="T26" s="5">
        <f>IF(is_cat, IF(header_row_id=income_header_row,MATCH(income_min_row, $C:$C,0),    IF(header_row_id=expenses_header_row,MATCH(expenses_min_row, $C:$C,0),                 IF(header_row_id=Savings_header_row,MATCH(Savings_min_row, $C:$C,0),""))),"")</f>
        <v>20</v>
      </c>
      <c r="U26" s="7">
        <f>IF(is_cat, IF(header_row_id=income_header_row,MATCH(income_max_row, $C:$C,0),    IF(header_row_id=expenses_header_row,MATCH(expenses_max_row, $C:$C,0),                 IF(header_row_id=Savings_header_row,MATCH(Savings_max_row, $C:$C,0),""))),"")</f>
        <v>28</v>
      </c>
      <c r="V26" s="5" t="str">
        <f t="shared" si="8"/>
        <v>$K$20:$K$28</v>
      </c>
      <c r="W26" s="6">
        <f t="shared" ca="1" si="9"/>
        <v>5</v>
      </c>
      <c r="X26" s="80">
        <f t="shared" ca="1" si="10"/>
        <v>30</v>
      </c>
      <c r="Y26" s="81" t="str">
        <f ca="1">IF(is_empty,"",INDEX($J:$J, MATCH(row_id, $X:$X, 0)))</f>
        <v>Clothing</v>
      </c>
      <c r="Z26" s="83">
        <f t="shared" ca="1" si="12"/>
        <v>140</v>
      </c>
      <c r="AA26" s="83">
        <f t="shared" ca="1" si="13"/>
        <v>200</v>
      </c>
      <c r="AB26" s="82">
        <f t="shared" ca="1" si="14"/>
        <v>0.7</v>
      </c>
      <c r="AC26" s="83">
        <f t="shared" ca="1" si="15"/>
        <v>60</v>
      </c>
      <c r="AD26" s="83">
        <f t="shared" ca="1" si="16"/>
        <v>0</v>
      </c>
      <c r="AF26" s="84"/>
      <c r="AG26" s="85"/>
      <c r="AH26" s="85"/>
      <c r="AI26" s="85"/>
      <c r="AJ26" s="85"/>
      <c r="AK26" s="86"/>
      <c r="AM26" s="84"/>
      <c r="AN26" s="85"/>
      <c r="AO26" s="85"/>
      <c r="AP26" s="85"/>
      <c r="AQ26" s="85"/>
      <c r="AR26" s="86"/>
    </row>
    <row r="27" spans="3:44" x14ac:dyDescent="0.25">
      <c r="C27" s="5">
        <f>IF(C26=-1,-1, IF(C26&lt;income_max_row, C26+1, IF(C26=income_max_row, income_total_row,                                                                                                                                                                                       IF(C26=income_total_row, "/1",  IF(C26="/1",expenses_header_row,   IF(C26&lt;expenses_max_row,C26+1,                                                                                                                                                                       IF(C26=expenses_max_row,expenses_total_row,                     IF(C26=expenses_total_row, "/2",  IF(C26="/2",Savings_header_row,   IF(C26&lt;Savings_max_row,C26+1,                                                                                                                                                                       IF(C26=Savings_max_row,Savings_total_row,                     -1)))))))))))</f>
        <v>33</v>
      </c>
      <c r="D27" s="6">
        <f t="shared" si="0"/>
        <v>25</v>
      </c>
      <c r="E27" s="5">
        <f>1*OR(row_id=income_header_row,row_id=expenses_header_row,row_id=Savings_header_row)</f>
        <v>0</v>
      </c>
      <c r="F27" s="6">
        <f t="shared" si="1"/>
        <v>1</v>
      </c>
      <c r="G27" s="6">
        <f>1*OR(row_id=income_total_row,row_id=expenses_total_row, row_id=Savings_total_row)</f>
        <v>0</v>
      </c>
      <c r="H27" s="7">
        <f t="shared" si="2"/>
        <v>0</v>
      </c>
      <c r="I27" s="5" t="str">
        <f>IFERROR(INDEX('Budget Planning'!C:C, header_row_id),"")</f>
        <v>Expenses</v>
      </c>
      <c r="J27" s="6" t="str">
        <f>IFERROR(INDEX('Budget Planning'!C:C, row_id),"")</f>
        <v>Media</v>
      </c>
      <c r="K27"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70</v>
      </c>
      <c r="L27" s="78">
        <f>IF(OR(is_header, is_empty), "",
   INDEX('Budget Planning'!$E:$FA, row_id,  MATCH(IF(selected_period="Total Year", selected_year,DATE(selected_year,selected_period,1)), 'Budget Planning'!$E$9:$FA$9,0)))</f>
        <v>50</v>
      </c>
      <c r="M27" s="5">
        <f>IF(is_cat, IF(header_row_id=income_header_row,MATCH(income_min_row, $C:$C,0),    IF(header_row_id=expenses_header_row,MATCH(expenses_min_row, $C:$C,0),                 IF(header_row_id=Savings_header_row,MATCH(Savings_min_row, $C:$C,0),""))),"")</f>
        <v>20</v>
      </c>
      <c r="N27" s="7">
        <f>IF(is_cat, IF(header_row_id=income_header_row,MATCH(income_max_row, $C:$C,0),    IF(header_row_id=expenses_header_row,MATCH(expenses_max_row, $C:$C,0),                 IF(header_row_id=Savings_header_row,MATCH(Savings_max_row, $C:$C,0),""))),"")</f>
        <v>28</v>
      </c>
      <c r="O27" s="5" t="str">
        <f t="shared" si="3"/>
        <v>$K$20:$K$28</v>
      </c>
      <c r="P27" s="6">
        <f t="shared" ca="1" si="4"/>
        <v>8</v>
      </c>
      <c r="Q27" s="6" t="str">
        <f t="shared" si="5"/>
        <v>$L$20:$L$28</v>
      </c>
      <c r="R27" s="6">
        <f t="shared" ca="1" si="6"/>
        <v>8</v>
      </c>
      <c r="S27" s="5">
        <f t="shared" ca="1" si="7"/>
        <v>88</v>
      </c>
      <c r="T27" s="5">
        <f>IF(is_cat, IF(header_row_id=income_header_row,MATCH(income_min_row, $C:$C,0),    IF(header_row_id=expenses_header_row,MATCH(expenses_min_row, $C:$C,0),                 IF(header_row_id=Savings_header_row,MATCH(Savings_min_row, $C:$C,0),""))),"")</f>
        <v>20</v>
      </c>
      <c r="U27" s="7">
        <f>IF(is_cat, IF(header_row_id=income_header_row,MATCH(income_max_row, $C:$C,0),    IF(header_row_id=expenses_header_row,MATCH(expenses_max_row, $C:$C,0),                 IF(header_row_id=Savings_header_row,MATCH(Savings_max_row, $C:$C,0),""))),"")</f>
        <v>28</v>
      </c>
      <c r="V27" s="5" t="str">
        <f t="shared" si="8"/>
        <v>$K$20:$K$28</v>
      </c>
      <c r="W27" s="6">
        <f t="shared" ca="1" si="9"/>
        <v>8</v>
      </c>
      <c r="X27" s="80">
        <f t="shared" ca="1" si="10"/>
        <v>33</v>
      </c>
      <c r="Y27" s="81" t="str">
        <f t="shared" ca="1" si="11"/>
        <v>Media</v>
      </c>
      <c r="Z27" s="83">
        <f t="shared" ca="1" si="12"/>
        <v>70</v>
      </c>
      <c r="AA27" s="83">
        <f t="shared" ca="1" si="13"/>
        <v>50</v>
      </c>
      <c r="AB27" s="82">
        <f t="shared" ca="1" si="14"/>
        <v>1.4</v>
      </c>
      <c r="AC27" s="83">
        <f ca="1">IF(is_empty,"", IF(is_header,"Remaining",IF(out_budget - out_tracked &gt;0, out_budget - out_tracked,0)))</f>
        <v>0</v>
      </c>
      <c r="AD27" s="83">
        <f t="shared" ca="1" si="16"/>
        <v>20</v>
      </c>
      <c r="AF27" s="45"/>
      <c r="AG27" s="6"/>
      <c r="AH27" s="6"/>
      <c r="AI27" s="6"/>
      <c r="AJ27" s="6"/>
      <c r="AK27" s="46"/>
      <c r="AM27" s="45"/>
      <c r="AN27" s="6"/>
      <c r="AO27" s="6"/>
      <c r="AP27" s="6"/>
      <c r="AQ27" s="6"/>
      <c r="AR27" s="46"/>
    </row>
    <row r="28" spans="3:44" x14ac:dyDescent="0.25">
      <c r="C28" s="5">
        <f>IF(C27=-1,-1, IF(C27&lt;income_max_row, C27+1, IF(C27=income_max_row, income_total_row,                                                                                                                                                                                       IF(C27=income_total_row, "/1",  IF(C27="/1",expenses_header_row,   IF(C27&lt;expenses_max_row,C27+1,                                                                                                                                                                       IF(C27=expenses_max_row,expenses_total_row,                     IF(C27=expenses_total_row, "/2",  IF(C27="/2",Savings_header_row,   IF(C27&lt;Savings_max_row,C27+1,                                                                                                                                                                       IF(C27=Savings_max_row,Savings_total_row,                     -1)))))))))))</f>
        <v>34</v>
      </c>
      <c r="D28" s="6">
        <f t="shared" si="0"/>
        <v>25</v>
      </c>
      <c r="E28" s="5">
        <f>1*OR(row_id=income_header_row,row_id=expenses_header_row,row_id=Savings_header_row)</f>
        <v>0</v>
      </c>
      <c r="F28" s="6">
        <f t="shared" si="1"/>
        <v>1</v>
      </c>
      <c r="G28" s="6">
        <f>1*OR(row_id=income_total_row,row_id=expenses_total_row, row_id=Savings_total_row)</f>
        <v>0</v>
      </c>
      <c r="H28" s="7">
        <f t="shared" si="2"/>
        <v>0</v>
      </c>
      <c r="I28" s="5" t="str">
        <f>IFERROR(INDEX('Budget Planning'!C:C, header_row_id),"")</f>
        <v>Expenses</v>
      </c>
      <c r="J28" s="6" t="str">
        <f>IFERROR(INDEX('Budget Planning'!C:C, row_id),"")</f>
        <v>Fun &amp; Vacation</v>
      </c>
      <c r="K28"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250</v>
      </c>
      <c r="L28" s="78">
        <f>IF(OR(is_header, is_empty), "",
   INDEX('Budget Planning'!$E:$FA, row_id,  MATCH(IF(selected_period="Total Year", selected_year,DATE(selected_year,selected_period,1)), 'Budget Planning'!$E$9:$FA$9,0)))</f>
        <v>300</v>
      </c>
      <c r="M28" s="5">
        <f>IF(is_cat, IF(header_row_id=income_header_row,MATCH(income_min_row, $C:$C,0),    IF(header_row_id=expenses_header_row,MATCH(expenses_min_row, $C:$C,0),                 IF(header_row_id=Savings_header_row,MATCH(Savings_min_row, $C:$C,0),""))),"")</f>
        <v>20</v>
      </c>
      <c r="N28" s="7">
        <f>IF(is_cat, IF(header_row_id=income_header_row,MATCH(income_max_row, $C:$C,0),    IF(header_row_id=expenses_header_row,MATCH(expenses_max_row, $C:$C,0),                 IF(header_row_id=Savings_header_row,MATCH(Savings_max_row, $C:$C,0),""))),"")</f>
        <v>28</v>
      </c>
      <c r="O28" s="5" t="str">
        <f t="shared" si="3"/>
        <v>$K$20:$K$28</v>
      </c>
      <c r="P28" s="6">
        <f t="shared" ca="1" si="4"/>
        <v>6</v>
      </c>
      <c r="Q28" s="6" t="str">
        <f t="shared" si="5"/>
        <v>$L$20:$L$28</v>
      </c>
      <c r="R28" s="6">
        <f t="shared" ca="1" si="6"/>
        <v>3</v>
      </c>
      <c r="S28" s="5">
        <f t="shared" ca="1" si="7"/>
        <v>63</v>
      </c>
      <c r="T28" s="5">
        <f>IF(is_cat, IF(header_row_id=income_header_row,MATCH(income_min_row, $C:$C,0),    IF(header_row_id=expenses_header_row,MATCH(expenses_min_row, $C:$C,0),                 IF(header_row_id=Savings_header_row,MATCH(Savings_min_row, $C:$C,0),""))),"")</f>
        <v>20</v>
      </c>
      <c r="U28" s="7">
        <f>IF(is_cat, IF(header_row_id=income_header_row,MATCH(income_max_row, $C:$C,0),    IF(header_row_id=expenses_header_row,MATCH(expenses_max_row, $C:$C,0),                 IF(header_row_id=Savings_header_row,MATCH(Savings_max_row, $C:$C,0),""))),"")</f>
        <v>28</v>
      </c>
      <c r="V28" s="5" t="str">
        <f t="shared" si="8"/>
        <v>$K$20:$K$28</v>
      </c>
      <c r="W28" s="6">
        <f t="shared" ca="1" si="9"/>
        <v>6</v>
      </c>
      <c r="X28" s="80">
        <f t="shared" ca="1" si="10"/>
        <v>31</v>
      </c>
      <c r="Y28" s="81" t="str">
        <f t="shared" ca="1" si="11"/>
        <v>Insurances</v>
      </c>
      <c r="Z28" s="83">
        <f t="shared" ca="1" si="12"/>
        <v>0</v>
      </c>
      <c r="AA28" s="83" t="str">
        <f t="shared" ca="1" si="13"/>
        <v xml:space="preserve">              -</v>
      </c>
      <c r="AB28" s="82" t="str">
        <f t="shared" ca="1" si="14"/>
        <v>-</v>
      </c>
      <c r="AC28" s="83" t="e">
        <f ca="1">IF(is_empty,"", IF(is_header,"Remaining",IF(out_budget - out_tracked &gt;0, out_budget - out_tracked,0)))</f>
        <v>#VALUE!</v>
      </c>
      <c r="AD28" s="83" t="e">
        <f t="shared" ca="1" si="16"/>
        <v>#VALUE!</v>
      </c>
      <c r="AF28" s="45"/>
      <c r="AG28" s="6"/>
      <c r="AH28" s="6"/>
      <c r="AI28" s="6"/>
      <c r="AJ28" s="6"/>
      <c r="AK28" s="46"/>
      <c r="AM28" s="45"/>
      <c r="AN28" s="6"/>
      <c r="AO28" s="6"/>
      <c r="AP28" s="6"/>
      <c r="AQ28" s="6"/>
      <c r="AR28" s="46"/>
    </row>
    <row r="29" spans="3:44" x14ac:dyDescent="0.25">
      <c r="C29" s="5">
        <f>IF(C28=-1,-1, IF(C28&lt;income_max_row, C28+1, IF(C28=income_max_row, income_total_row,                                                                                                                                                                                       IF(C28=income_total_row, "/1",  IF(C28="/1",expenses_header_row,   IF(C28&lt;expenses_max_row,C28+1,                                                                                                                                                                       IF(C28=expenses_max_row,expenses_total_row,                     IF(C28=expenses_total_row, "/2",  IF(C28="/2",Savings_header_row,   IF(C28&lt;Savings_max_row,C28+1,                                                                                                                                                                       IF(C28=Savings_max_row,Savings_total_row,                     -1)))))))))))</f>
        <v>37</v>
      </c>
      <c r="D29" s="6">
        <f t="shared" si="0"/>
        <v>25</v>
      </c>
      <c r="E29" s="5">
        <f>1*OR(row_id=income_header_row,row_id=expenses_header_row,row_id=Savings_header_row)</f>
        <v>0</v>
      </c>
      <c r="F29" s="6">
        <f t="shared" si="1"/>
        <v>0</v>
      </c>
      <c r="G29" s="6">
        <f>1*OR(row_id=income_total_row,row_id=expenses_total_row, row_id=Savings_total_row)</f>
        <v>1</v>
      </c>
      <c r="H29" s="7">
        <f t="shared" si="2"/>
        <v>0</v>
      </c>
      <c r="I29" s="5" t="str">
        <f>IFERROR(INDEX('Budget Planning'!C:C, header_row_id),"")</f>
        <v>Expenses</v>
      </c>
      <c r="J29" s="6" t="str">
        <f>IFERROR(INDEX('Budget Planning'!C:C, row_id),"")</f>
        <v>Total</v>
      </c>
      <c r="K29"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3010</v>
      </c>
      <c r="L29" s="78">
        <f ca="1">IF(OR(is_header, is_empty), "",
   INDEX('Budget Planning'!$E:$FA, row_id,  MATCH(IF(selected_period="Total Year", selected_year,DATE(selected_year,selected_period,1)), 'Budget Planning'!$E$9:$FA$9,0)))</f>
        <v>2900</v>
      </c>
      <c r="M29" s="5" t="str">
        <f>IF(is_cat, IF(header_row_id=income_header_row,MATCH(income_min_row, $C:$C,0),    IF(header_row_id=expenses_header_row,MATCH(expenses_min_row, $C:$C,0),                 IF(header_row_id=Savings_header_row,MATCH(Savings_min_row, $C:$C,0),""))),"")</f>
        <v/>
      </c>
      <c r="N29" s="7" t="str">
        <f>IF(is_cat, IF(header_row_id=income_header_row,MATCH(income_max_row, $C:$C,0),    IF(header_row_id=expenses_header_row,MATCH(expenses_max_row, $C:$C,0),                 IF(header_row_id=Savings_header_row,MATCH(Savings_max_row, $C:$C,0),""))),"")</f>
        <v/>
      </c>
      <c r="O29" s="5" t="str">
        <f t="shared" si="3"/>
        <v/>
      </c>
      <c r="P29" s="6" t="str">
        <f t="shared" ca="1" si="4"/>
        <v/>
      </c>
      <c r="Q29" s="6" t="str">
        <f t="shared" si="5"/>
        <v/>
      </c>
      <c r="R29" s="6" t="str">
        <f t="shared" ca="1" si="6"/>
        <v/>
      </c>
      <c r="S29" s="5" t="str">
        <f t="shared" si="7"/>
        <v/>
      </c>
      <c r="T29" s="5" t="str">
        <f>IF(is_cat, IF(header_row_id=income_header_row,MATCH(income_min_row, $C:$C,0),    IF(header_row_id=expenses_header_row,MATCH(expenses_min_row, $C:$C,0),                 IF(header_row_id=Savings_header_row,MATCH(Savings_min_row, $C:$C,0),""))),"")</f>
        <v/>
      </c>
      <c r="U29" s="7" t="str">
        <f>IF(is_cat, IF(header_row_id=income_header_row,MATCH(income_max_row, $C:$C,0),    IF(header_row_id=expenses_header_row,MATCH(expenses_max_row, $C:$C,0),                 IF(header_row_id=Savings_header_row,MATCH(Savings_max_row, $C:$C,0),""))),"")</f>
        <v/>
      </c>
      <c r="V29" s="5" t="str">
        <f t="shared" si="8"/>
        <v/>
      </c>
      <c r="W29" s="6" t="str">
        <f t="shared" ca="1" si="9"/>
        <v/>
      </c>
      <c r="X29" s="80">
        <f t="shared" si="10"/>
        <v>37</v>
      </c>
      <c r="Y29" s="81" t="str">
        <f t="shared" ca="1" si="11"/>
        <v>Total</v>
      </c>
      <c r="Z29" s="83">
        <f t="shared" ca="1" si="12"/>
        <v>3010</v>
      </c>
      <c r="AA29" s="83">
        <f t="shared" ca="1" si="13"/>
        <v>2900</v>
      </c>
      <c r="AB29" s="82">
        <f t="shared" ca="1" si="14"/>
        <v>1.0379310344827586</v>
      </c>
      <c r="AC29" s="83">
        <f t="shared" ca="1" si="15"/>
        <v>0</v>
      </c>
      <c r="AD29" s="83">
        <f t="shared" ca="1" si="16"/>
        <v>110</v>
      </c>
      <c r="AF29" s="45"/>
      <c r="AG29" s="6"/>
      <c r="AH29" s="6"/>
      <c r="AI29" s="95" t="str">
        <f ca="1">Calculations!I35</f>
        <v>Housing</v>
      </c>
      <c r="AJ29" s="96">
        <f ca="1">Calculations!J35</f>
        <v>1200</v>
      </c>
      <c r="AK29" s="46"/>
      <c r="AM29" s="45"/>
      <c r="AN29" s="6"/>
      <c r="AO29" s="6"/>
      <c r="AP29" s="95" t="str">
        <f ca="1">Calculations!M35</f>
        <v>Stock Portfolio</v>
      </c>
      <c r="AQ29" s="96">
        <f ca="1">Calculations!N35</f>
        <v>500</v>
      </c>
      <c r="AR29" s="46"/>
    </row>
    <row r="30" spans="3:44" x14ac:dyDescent="0.25">
      <c r="C30" s="5" t="str">
        <f>IF(C29=-1,-1, IF(C29&lt;income_max_row, C29+1, IF(C29=income_max_row, income_total_row,                                                                                                                                                                                       IF(C29=income_total_row, "/1",  IF(C29="/1",expenses_header_row,   IF(C29&lt;expenses_max_row,C29+1,                                                                                                                                                                       IF(C29=expenses_max_row,expenses_total_row,                     IF(C29=expenses_total_row, "/2",  IF(C29="/2",Savings_header_row,   IF(C29&lt;Savings_max_row,C29+1,                                                                                                                                                                       IF(C29=Savings_max_row,Savings_total_row,                     -1)))))))))))</f>
        <v>/2</v>
      </c>
      <c r="D30" s="6">
        <f t="shared" si="0"/>
        <v>-1</v>
      </c>
      <c r="E30" s="5">
        <f>1*OR(row_id=income_header_row,row_id=expenses_header_row,row_id=Savings_header_row)</f>
        <v>0</v>
      </c>
      <c r="F30" s="6">
        <f t="shared" si="1"/>
        <v>0</v>
      </c>
      <c r="G30" s="6">
        <f>1*OR(row_id=income_total_row,row_id=expenses_total_row, row_id=Savings_total_row)</f>
        <v>0</v>
      </c>
      <c r="H30" s="7">
        <f t="shared" si="2"/>
        <v>1</v>
      </c>
      <c r="I30" s="5" t="str">
        <f>IFERROR(INDEX('Budget Planning'!C:C, header_row_id),"")</f>
        <v/>
      </c>
      <c r="J30" s="6" t="str">
        <f>IFERROR(INDEX('Budget Planning'!C:C, row_id),"")</f>
        <v/>
      </c>
      <c r="K30"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30" s="78" t="str">
        <f>IF(OR(is_header, is_empty), "",
   INDEX('Budget Planning'!$E:$FA, row_id,  MATCH(IF(selected_period="Total Year", selected_year,DATE(selected_year,selected_period,1)), 'Budget Planning'!$E$9:$FA$9,0)))</f>
        <v/>
      </c>
      <c r="M30" s="5" t="str">
        <f>IF(is_cat, IF(header_row_id=income_header_row,MATCH(income_min_row, $C:$C,0),    IF(header_row_id=expenses_header_row,MATCH(expenses_min_row, $C:$C,0),                 IF(header_row_id=Savings_header_row,MATCH(Savings_min_row, $C:$C,0),""))),"")</f>
        <v/>
      </c>
      <c r="N30" s="7" t="str">
        <f>IF(is_cat, IF(header_row_id=income_header_row,MATCH(income_max_row, $C:$C,0),    IF(header_row_id=expenses_header_row,MATCH(expenses_max_row, $C:$C,0),                 IF(header_row_id=Savings_header_row,MATCH(Savings_max_row, $C:$C,0),""))),"")</f>
        <v/>
      </c>
      <c r="O30" s="5" t="str">
        <f t="shared" si="3"/>
        <v/>
      </c>
      <c r="P30" s="6" t="str">
        <f t="shared" ca="1" si="4"/>
        <v/>
      </c>
      <c r="Q30" s="6" t="str">
        <f t="shared" si="5"/>
        <v/>
      </c>
      <c r="R30" s="6" t="str">
        <f t="shared" ca="1" si="6"/>
        <v/>
      </c>
      <c r="S30" s="5" t="str">
        <f t="shared" si="7"/>
        <v/>
      </c>
      <c r="T30" s="5" t="str">
        <f>IF(is_cat, IF(header_row_id=income_header_row,MATCH(income_min_row, $C:$C,0),    IF(header_row_id=expenses_header_row,MATCH(expenses_min_row, $C:$C,0),                 IF(header_row_id=Savings_header_row,MATCH(Savings_min_row, $C:$C,0),""))),"")</f>
        <v/>
      </c>
      <c r="U30" s="7" t="str">
        <f>IF(is_cat, IF(header_row_id=income_header_row,MATCH(income_max_row, $C:$C,0),    IF(header_row_id=expenses_header_row,MATCH(expenses_max_row, $C:$C,0),                 IF(header_row_id=Savings_header_row,MATCH(Savings_max_row, $C:$C,0),""))),"")</f>
        <v/>
      </c>
      <c r="V30" s="5" t="str">
        <f t="shared" si="8"/>
        <v/>
      </c>
      <c r="W30" s="6" t="str">
        <f t="shared" ca="1" si="9"/>
        <v/>
      </c>
      <c r="X30" s="80" t="str">
        <f t="shared" si="10"/>
        <v>/2</v>
      </c>
      <c r="Y30" s="81" t="str">
        <f t="shared" si="11"/>
        <v/>
      </c>
      <c r="Z30" s="83" t="str">
        <f t="shared" si="12"/>
        <v/>
      </c>
      <c r="AA30" s="83" t="str">
        <f t="shared" si="13"/>
        <v/>
      </c>
      <c r="AB30" s="82" t="str">
        <f t="shared" si="14"/>
        <v/>
      </c>
      <c r="AC30" s="83" t="str">
        <f t="shared" si="15"/>
        <v/>
      </c>
      <c r="AD30" s="83" t="str">
        <f t="shared" si="16"/>
        <v/>
      </c>
      <c r="AF30" s="45"/>
      <c r="AG30" s="6"/>
      <c r="AH30" s="6"/>
      <c r="AI30" s="95" t="str">
        <f ca="1">Calculations!I36</f>
        <v>Groceries</v>
      </c>
      <c r="AJ30" s="96">
        <f ca="1">Calculations!J36</f>
        <v>400</v>
      </c>
      <c r="AK30" s="46"/>
      <c r="AM30" s="45"/>
      <c r="AN30" s="6"/>
      <c r="AO30" s="6"/>
      <c r="AP30" s="95" t="str">
        <f ca="1">Calculations!M36</f>
        <v>Retirement Fund</v>
      </c>
      <c r="AQ30" s="96">
        <f ca="1">Calculations!N36</f>
        <v>400</v>
      </c>
      <c r="AR30" s="46"/>
    </row>
    <row r="31" spans="3:44" x14ac:dyDescent="0.25">
      <c r="C31" s="5">
        <f>IF(C30=-1,-1, IF(C30&lt;income_max_row, C30+1, IF(C30=income_max_row, income_total_row,                                                                                                                                                                                       IF(C30=income_total_row, "/1",  IF(C30="/1",expenses_header_row,   IF(C30&lt;expenses_max_row,C30+1,                                                                                                                                                                       IF(C30=expenses_max_row,expenses_total_row,                     IF(C30=expenses_total_row, "/2",  IF(C30="/2",Savings_header_row,   IF(C30&lt;Savings_max_row,C30+1,                                                                                                                                                                       IF(C30=Savings_max_row,Savings_total_row,                     -1)))))))))))</f>
        <v>40</v>
      </c>
      <c r="D31" s="6">
        <f t="shared" si="0"/>
        <v>40</v>
      </c>
      <c r="E31" s="5">
        <f>1*OR(row_id=income_header_row,row_id=expenses_header_row,row_id=Savings_header_row)</f>
        <v>1</v>
      </c>
      <c r="F31" s="6">
        <f t="shared" si="1"/>
        <v>0</v>
      </c>
      <c r="G31" s="6">
        <f>1*OR(row_id=income_total_row,row_id=expenses_total_row, row_id=Savings_total_row)</f>
        <v>0</v>
      </c>
      <c r="H31" s="7">
        <f t="shared" si="2"/>
        <v>0</v>
      </c>
      <c r="I31" s="5" t="str">
        <f>IFERROR(INDEX('Budget Planning'!C:C, header_row_id),"")</f>
        <v>Savings</v>
      </c>
      <c r="J31" s="6" t="str">
        <f>IFERROR(INDEX('Budget Planning'!C:C, row_id),"")</f>
        <v>Savings</v>
      </c>
      <c r="K31"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31" s="78" t="str">
        <f>IF(OR(is_header, is_empty), "",
   INDEX('Budget Planning'!$E:$FA, row_id,  MATCH(IF(selected_period="Total Year", selected_year,DATE(selected_year,selected_period,1)), 'Budget Planning'!$E$9:$FA$9,0)))</f>
        <v/>
      </c>
      <c r="M31" s="5" t="str">
        <f>IF(is_cat, IF(header_row_id=income_header_row,MATCH(income_min_row, $C:$C,0),    IF(header_row_id=expenses_header_row,MATCH(expenses_min_row, $C:$C,0),                 IF(header_row_id=Savings_header_row,MATCH(Savings_min_row, $C:$C,0),""))),"")</f>
        <v/>
      </c>
      <c r="N31" s="7" t="str">
        <f>IF(is_cat, IF(header_row_id=income_header_row,MATCH(income_max_row, $C:$C,0),    IF(header_row_id=expenses_header_row,MATCH(expenses_max_row, $C:$C,0),                 IF(header_row_id=Savings_header_row,MATCH(Savings_max_row, $C:$C,0),""))),"")</f>
        <v/>
      </c>
      <c r="O31" s="5" t="str">
        <f t="shared" si="3"/>
        <v/>
      </c>
      <c r="P31" s="6" t="str">
        <f t="shared" ca="1" si="4"/>
        <v/>
      </c>
      <c r="Q31" s="6" t="str">
        <f t="shared" si="5"/>
        <v/>
      </c>
      <c r="R31" s="6" t="str">
        <f t="shared" ca="1" si="6"/>
        <v/>
      </c>
      <c r="S31" s="5" t="str">
        <f t="shared" si="7"/>
        <v/>
      </c>
      <c r="T31" s="5" t="str">
        <f>IF(is_cat, IF(header_row_id=income_header_row,MATCH(income_min_row, $C:$C,0),    IF(header_row_id=expenses_header_row,MATCH(expenses_min_row, $C:$C,0),                 IF(header_row_id=Savings_header_row,MATCH(Savings_min_row, $C:$C,0),""))),"")</f>
        <v/>
      </c>
      <c r="U31" s="7" t="str">
        <f>IF(is_cat, IF(header_row_id=income_header_row,MATCH(income_max_row, $C:$C,0),    IF(header_row_id=expenses_header_row,MATCH(expenses_max_row, $C:$C,0),                 IF(header_row_id=Savings_header_row,MATCH(Savings_max_row, $C:$C,0),""))),"")</f>
        <v/>
      </c>
      <c r="V31" s="5" t="str">
        <f t="shared" si="8"/>
        <v/>
      </c>
      <c r="W31" s="6" t="str">
        <f t="shared" ca="1" si="9"/>
        <v/>
      </c>
      <c r="X31" s="80">
        <f t="shared" si="10"/>
        <v>40</v>
      </c>
      <c r="Y31" s="81" t="str">
        <f t="shared" ca="1" si="11"/>
        <v>Savings</v>
      </c>
      <c r="Z31" s="83" t="str">
        <f t="shared" si="12"/>
        <v>Tracked</v>
      </c>
      <c r="AA31" s="83" t="str">
        <f t="shared" si="13"/>
        <v>Budget</v>
      </c>
      <c r="AB31" s="82" t="str">
        <f t="shared" si="14"/>
        <v>% Compl.</v>
      </c>
      <c r="AC31" s="83" t="str">
        <f t="shared" si="15"/>
        <v>Remaining</v>
      </c>
      <c r="AD31" s="83" t="str">
        <f t="shared" si="16"/>
        <v>Excess</v>
      </c>
      <c r="AF31" s="45"/>
      <c r="AG31" s="6"/>
      <c r="AH31" s="6"/>
      <c r="AI31" s="95" t="str">
        <f ca="1">Calculations!I37</f>
        <v>Transportation</v>
      </c>
      <c r="AJ31" s="96">
        <f ca="1">Calculations!J37</f>
        <v>380</v>
      </c>
      <c r="AK31" s="46"/>
      <c r="AM31" s="45"/>
      <c r="AN31" s="6"/>
      <c r="AO31" s="6"/>
      <c r="AP31" s="95" t="str">
        <f ca="1">Calculations!M37</f>
        <v>Emergency Fund</v>
      </c>
      <c r="AQ31" s="96">
        <f ca="1">Calculations!N37</f>
        <v>140</v>
      </c>
      <c r="AR31" s="46"/>
    </row>
    <row r="32" spans="3:44" x14ac:dyDescent="0.25">
      <c r="C32" s="5">
        <f>IF(C31=-1,-1, IF(C31&lt;income_max_row, C31+1, IF(C31=income_max_row, income_total_row,                                                                                                                                                                                       IF(C31=income_total_row, "/1",  IF(C31="/1",expenses_header_row,   IF(C31&lt;expenses_max_row,C31+1,                                                                                                                                                                       IF(C31=expenses_max_row,expenses_total_row,                     IF(C31=expenses_total_row, "/2",  IF(C31="/2",Savings_header_row,   IF(C31&lt;Savings_max_row,C31+1,                                                                                                                                                                       IF(C31=Savings_max_row,Savings_total_row,                     -1)))))))))))</f>
        <v>41</v>
      </c>
      <c r="D32" s="6">
        <f t="shared" si="0"/>
        <v>40</v>
      </c>
      <c r="E32" s="5">
        <f>1*OR(row_id=income_header_row,row_id=expenses_header_row,row_id=Savings_header_row)</f>
        <v>0</v>
      </c>
      <c r="F32" s="6">
        <f t="shared" si="1"/>
        <v>1</v>
      </c>
      <c r="G32" s="6">
        <f>1*OR(row_id=income_total_row,row_id=expenses_total_row, row_id=Savings_total_row)</f>
        <v>0</v>
      </c>
      <c r="H32" s="7">
        <f t="shared" si="2"/>
        <v>0</v>
      </c>
      <c r="I32" s="5" t="str">
        <f>IFERROR(INDEX('Budget Planning'!C:C, header_row_id),"")</f>
        <v>Savings</v>
      </c>
      <c r="J32" s="6" t="str">
        <f>IFERROR(INDEX('Budget Planning'!C:C, row_id),"")</f>
        <v>Emergency Fund</v>
      </c>
      <c r="K32"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140</v>
      </c>
      <c r="L32" s="78">
        <f>IF(OR(is_header, is_empty), "",
   INDEX('Budget Planning'!$E:$FA, row_id,  MATCH(IF(selected_period="Total Year", selected_year,DATE(selected_year,selected_period,1)), 'Budget Planning'!$E$9:$FA$9,0)))</f>
        <v>1000</v>
      </c>
      <c r="M32" s="5">
        <f>IF(is_cat, IF(header_row_id=income_header_row,MATCH(income_min_row, $C:$C,0),    IF(header_row_id=expenses_header_row,MATCH(expenses_min_row, $C:$C,0),                 IF(header_row_id=Savings_header_row,MATCH(Savings_min_row, $C:$C,0),""))),"")</f>
        <v>32</v>
      </c>
      <c r="N32" s="7">
        <f>IF(is_cat, IF(header_row_id=income_header_row,MATCH(income_max_row, $C:$C,0),    IF(header_row_id=expenses_header_row,MATCH(expenses_max_row, $C:$C,0),                 IF(header_row_id=Savings_header_row,MATCH(Savings_max_row, $C:$C,0),""))),"")</f>
        <v>36</v>
      </c>
      <c r="O32" s="5" t="str">
        <f t="shared" si="3"/>
        <v>$K$32:$K$36</v>
      </c>
      <c r="P32" s="6">
        <f t="shared" ca="1" si="4"/>
        <v>3</v>
      </c>
      <c r="Q32" s="6" t="str">
        <f t="shared" si="5"/>
        <v>$L$32:$L$36</v>
      </c>
      <c r="R32" s="6">
        <f t="shared" ca="1" si="6"/>
        <v>1</v>
      </c>
      <c r="S32" s="5">
        <f t="shared" ca="1" si="7"/>
        <v>31</v>
      </c>
      <c r="T32" s="5">
        <f>IF(is_cat, IF(header_row_id=income_header_row,MATCH(income_min_row, $C:$C,0),    IF(header_row_id=expenses_header_row,MATCH(expenses_min_row, $C:$C,0),                 IF(header_row_id=Savings_header_row,MATCH(Savings_min_row, $C:$C,0),""))),"")</f>
        <v>32</v>
      </c>
      <c r="U32" s="7">
        <f>IF(is_cat, IF(header_row_id=income_header_row,MATCH(income_max_row, $C:$C,0),    IF(header_row_id=expenses_header_row,MATCH(expenses_max_row, $C:$C,0),                 IF(header_row_id=Savings_header_row,MATCH(Savings_max_row, $C:$C,0),""))),"")</f>
        <v>36</v>
      </c>
      <c r="V32" s="5" t="str">
        <f t="shared" si="8"/>
        <v>$K$32:$K$36</v>
      </c>
      <c r="W32" s="6">
        <f t="shared" ca="1" si="9"/>
        <v>3</v>
      </c>
      <c r="X32" s="80">
        <f t="shared" ca="1" si="10"/>
        <v>43</v>
      </c>
      <c r="Y32" s="81" t="str">
        <f ca="1">IF(is_empty,"",INDEX($J:$J, MATCH(row_id, $X:$X, 0)))</f>
        <v>Stock Portfolio</v>
      </c>
      <c r="Z32" s="83">
        <f t="shared" ca="1" si="12"/>
        <v>500</v>
      </c>
      <c r="AA32" s="83">
        <f t="shared" ca="1" si="13"/>
        <v>150</v>
      </c>
      <c r="AB32" s="82">
        <f t="shared" ca="1" si="14"/>
        <v>3.3333333333333335</v>
      </c>
      <c r="AC32" s="83">
        <f t="shared" ca="1" si="15"/>
        <v>0</v>
      </c>
      <c r="AD32" s="83">
        <f t="shared" ca="1" si="16"/>
        <v>350</v>
      </c>
      <c r="AF32" s="45"/>
      <c r="AG32" s="6"/>
      <c r="AH32" s="6"/>
      <c r="AI32" s="95" t="str">
        <f ca="1">Calculations!I38</f>
        <v>Utilities</v>
      </c>
      <c r="AJ32" s="96">
        <f ca="1">Calculations!J38</f>
        <v>300</v>
      </c>
      <c r="AK32" s="46"/>
      <c r="AM32" s="45"/>
      <c r="AN32" s="6"/>
      <c r="AO32" s="6"/>
      <c r="AP32" s="95" t="str">
        <f ca="1">Calculations!M38</f>
        <v/>
      </c>
      <c r="AQ32" s="96" t="str">
        <f ca="1">Calculations!N38</f>
        <v/>
      </c>
      <c r="AR32" s="46"/>
    </row>
    <row r="33" spans="3:44" x14ac:dyDescent="0.25">
      <c r="C33" s="5">
        <f>IF(C32=-1,-1, IF(C32&lt;income_max_row, C32+1, IF(C32=income_max_row, income_total_row,                                                                                                                                                                                       IF(C32=income_total_row, "/1",  IF(C32="/1",expenses_header_row,   IF(C32&lt;expenses_max_row,C32+1,                                                                                                                                                                       IF(C32=expenses_max_row,expenses_total_row,                     IF(C32=expenses_total_row, "/2",  IF(C32="/2",Savings_header_row,   IF(C32&lt;Savings_max_row,C32+1,                                                                                                                                                                       IF(C32=Savings_max_row,Savings_total_row,                     -1)))))))))))</f>
        <v>42</v>
      </c>
      <c r="D33" s="6">
        <f t="shared" si="0"/>
        <v>40</v>
      </c>
      <c r="E33" s="5">
        <f>1*OR(row_id=income_header_row,row_id=expenses_header_row,row_id=Savings_header_row)</f>
        <v>0</v>
      </c>
      <c r="F33" s="6">
        <f t="shared" si="1"/>
        <v>1</v>
      </c>
      <c r="G33" s="6">
        <f>1*OR(row_id=income_total_row,row_id=expenses_total_row, row_id=Savings_total_row)</f>
        <v>0</v>
      </c>
      <c r="H33" s="7">
        <f t="shared" si="2"/>
        <v>0</v>
      </c>
      <c r="I33" s="5" t="str">
        <f>IFERROR(INDEX('Budget Planning'!C:C, header_row_id),"")</f>
        <v>Savings</v>
      </c>
      <c r="J33" s="6" t="str">
        <f>IFERROR(INDEX('Budget Planning'!C:C, row_id),"")</f>
        <v>Retirement Fund</v>
      </c>
      <c r="K33"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400</v>
      </c>
      <c r="L33" s="78">
        <f>IF(OR(is_header, is_empty), "",
   INDEX('Budget Planning'!$E:$FA, row_id,  MATCH(IF(selected_period="Total Year", selected_year,DATE(selected_year,selected_period,1)), 'Budget Planning'!$E$9:$FA$9,0)))</f>
        <v>400</v>
      </c>
      <c r="M33" s="5">
        <f>IF(is_cat, IF(header_row_id=income_header_row,MATCH(income_min_row, $C:$C,0),    IF(header_row_id=expenses_header_row,MATCH(expenses_min_row, $C:$C,0),                 IF(header_row_id=Savings_header_row,MATCH(Savings_min_row, $C:$C,0),""))),"")</f>
        <v>32</v>
      </c>
      <c r="N33" s="7">
        <f>IF(is_cat, IF(header_row_id=income_header_row,MATCH(income_max_row, $C:$C,0),    IF(header_row_id=expenses_header_row,MATCH(expenses_max_row, $C:$C,0),                 IF(header_row_id=Savings_header_row,MATCH(Savings_max_row, $C:$C,0),""))),"")</f>
        <v>36</v>
      </c>
      <c r="O33" s="5" t="str">
        <f t="shared" si="3"/>
        <v>$K$32:$K$36</v>
      </c>
      <c r="P33" s="6">
        <f t="shared" ca="1" si="4"/>
        <v>2</v>
      </c>
      <c r="Q33" s="6" t="str">
        <f t="shared" si="5"/>
        <v>$L$32:$L$36</v>
      </c>
      <c r="R33" s="6">
        <f t="shared" ca="1" si="6"/>
        <v>2</v>
      </c>
      <c r="S33" s="5">
        <f t="shared" ca="1" si="7"/>
        <v>22</v>
      </c>
      <c r="T33" s="5">
        <f>IF(is_cat, IF(header_row_id=income_header_row,MATCH(income_min_row, $C:$C,0),    IF(header_row_id=expenses_header_row,MATCH(expenses_min_row, $C:$C,0),                 IF(header_row_id=Savings_header_row,MATCH(Savings_min_row, $C:$C,0),""))),"")</f>
        <v>32</v>
      </c>
      <c r="U33" s="7">
        <f>IF(is_cat, IF(header_row_id=income_header_row,MATCH(income_max_row, $C:$C,0),    IF(header_row_id=expenses_header_row,MATCH(expenses_max_row, $C:$C,0),                 IF(header_row_id=Savings_header_row,MATCH(Savings_max_row, $C:$C,0),""))),"")</f>
        <v>36</v>
      </c>
      <c r="V33" s="5" t="str">
        <f t="shared" si="8"/>
        <v>$K$32:$K$36</v>
      </c>
      <c r="W33" s="6">
        <f t="shared" ca="1" si="9"/>
        <v>2</v>
      </c>
      <c r="X33" s="80">
        <f t="shared" ca="1" si="10"/>
        <v>42</v>
      </c>
      <c r="Y33" s="81" t="str">
        <f ca="1">IF(is_empty,"",INDEX($J:$J, MATCH(row_id, $X:$X, 0)))</f>
        <v>Retirement Fund</v>
      </c>
      <c r="Z33" s="83">
        <f t="shared" ca="1" si="12"/>
        <v>400</v>
      </c>
      <c r="AA33" s="83">
        <f t="shared" ca="1" si="13"/>
        <v>400</v>
      </c>
      <c r="AB33" s="82">
        <f t="shared" ca="1" si="14"/>
        <v>1</v>
      </c>
      <c r="AC33" s="83">
        <f t="shared" ca="1" si="15"/>
        <v>0</v>
      </c>
      <c r="AD33" s="83">
        <f t="shared" ca="1" si="16"/>
        <v>0</v>
      </c>
      <c r="AF33" s="45"/>
      <c r="AG33" s="6"/>
      <c r="AH33" s="6"/>
      <c r="AI33" s="95" t="str">
        <f ca="1">Calculations!I39</f>
        <v>Body Care &amp; Medicine</v>
      </c>
      <c r="AJ33" s="96">
        <f ca="1">Calculations!J39</f>
        <v>270</v>
      </c>
      <c r="AK33" s="46"/>
      <c r="AM33" s="45"/>
      <c r="AN33" s="6"/>
      <c r="AO33" s="6"/>
      <c r="AP33" s="95" t="e">
        <f ca="1">Calculations!M39</f>
        <v>#N/A</v>
      </c>
      <c r="AQ33" s="96" t="e">
        <f ca="1">Calculations!N39</f>
        <v>#N/A</v>
      </c>
      <c r="AR33" s="46"/>
    </row>
    <row r="34" spans="3:44" x14ac:dyDescent="0.25">
      <c r="C34" s="5">
        <f>IF(C33=-1,-1, IF(C33&lt;income_max_row, C33+1, IF(C33=income_max_row, income_total_row,                                                                                                                                                                                       IF(C33=income_total_row, "/1",  IF(C33="/1",expenses_header_row,   IF(C33&lt;expenses_max_row,C33+1,                                                                                                                                                                       IF(C33=expenses_max_row,expenses_total_row,                     IF(C33=expenses_total_row, "/2",  IF(C33="/2",Savings_header_row,   IF(C33&lt;Savings_max_row,C33+1,                                                                                                                                                                       IF(C33=Savings_max_row,Savings_total_row,                     -1)))))))))))</f>
        <v>43</v>
      </c>
      <c r="D34" s="6">
        <f t="shared" si="0"/>
        <v>40</v>
      </c>
      <c r="E34" s="5">
        <f>1*OR(row_id=income_header_row,row_id=expenses_header_row,row_id=Savings_header_row)</f>
        <v>0</v>
      </c>
      <c r="F34" s="6">
        <f t="shared" si="1"/>
        <v>1</v>
      </c>
      <c r="G34" s="6">
        <f>1*OR(row_id=income_total_row,row_id=expenses_total_row, row_id=Savings_total_row)</f>
        <v>0</v>
      </c>
      <c r="H34" s="7">
        <f t="shared" si="2"/>
        <v>0</v>
      </c>
      <c r="I34" s="5" t="str">
        <f>IFERROR(INDEX('Budget Planning'!C:C, header_row_id),"")</f>
        <v>Savings</v>
      </c>
      <c r="J34" s="6" t="str">
        <f>IFERROR(INDEX('Budget Planning'!C:C, row_id),"")</f>
        <v>Stock Portfolio</v>
      </c>
      <c r="K34"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500</v>
      </c>
      <c r="L34" s="78">
        <f>IF(OR(is_header, is_empty), "",
   INDEX('Budget Planning'!$E:$FA, row_id,  MATCH(IF(selected_period="Total Year", selected_year,DATE(selected_year,selected_period,1)), 'Budget Planning'!$E$9:$FA$9,0)))</f>
        <v>150</v>
      </c>
      <c r="M34" s="5">
        <f>IF(is_cat, IF(header_row_id=income_header_row,MATCH(income_min_row, $C:$C,0),    IF(header_row_id=expenses_header_row,MATCH(expenses_min_row, $C:$C,0),                 IF(header_row_id=Savings_header_row,MATCH(Savings_min_row, $C:$C,0),""))),"")</f>
        <v>32</v>
      </c>
      <c r="N34" s="7">
        <f>IF(is_cat, IF(header_row_id=income_header_row,MATCH(income_max_row, $C:$C,0),    IF(header_row_id=expenses_header_row,MATCH(expenses_max_row, $C:$C,0),                 IF(header_row_id=Savings_header_row,MATCH(Savings_max_row, $C:$C,0),""))),"")</f>
        <v>36</v>
      </c>
      <c r="O34" s="5" t="str">
        <f t="shared" si="3"/>
        <v>$K$32:$K$36</v>
      </c>
      <c r="P34" s="6">
        <f t="shared" ca="1" si="4"/>
        <v>1</v>
      </c>
      <c r="Q34" s="6" t="str">
        <f t="shared" si="5"/>
        <v>$L$32:$L$36</v>
      </c>
      <c r="R34" s="6">
        <f t="shared" ca="1" si="6"/>
        <v>3</v>
      </c>
      <c r="S34" s="5">
        <f t="shared" ca="1" si="7"/>
        <v>13</v>
      </c>
      <c r="T34" s="5">
        <f>IF(is_cat, IF(header_row_id=income_header_row,MATCH(income_min_row, $C:$C,0),    IF(header_row_id=expenses_header_row,MATCH(expenses_min_row, $C:$C,0),                 IF(header_row_id=Savings_header_row,MATCH(Savings_min_row, $C:$C,0),""))),"")</f>
        <v>32</v>
      </c>
      <c r="U34" s="7">
        <f>IF(is_cat, IF(header_row_id=income_header_row,MATCH(income_max_row, $C:$C,0),    IF(header_row_id=expenses_header_row,MATCH(expenses_max_row, $C:$C,0),                 IF(header_row_id=Savings_header_row,MATCH(Savings_max_row, $C:$C,0),""))),"")</f>
        <v>36</v>
      </c>
      <c r="V34" s="5" t="str">
        <f t="shared" si="8"/>
        <v>$K$32:$K$36</v>
      </c>
      <c r="W34" s="6">
        <f t="shared" ca="1" si="9"/>
        <v>1</v>
      </c>
      <c r="X34" s="80">
        <f t="shared" ca="1" si="10"/>
        <v>41</v>
      </c>
      <c r="Y34" s="81" t="str">
        <f ca="1">IF(is_empty,"",INDEX($J:$J, MATCH(row_id, $X:$X, 0)))</f>
        <v>Emergency Fund</v>
      </c>
      <c r="Z34" s="83">
        <f t="shared" ca="1" si="12"/>
        <v>140</v>
      </c>
      <c r="AA34" s="83">
        <f t="shared" ca="1" si="13"/>
        <v>1000</v>
      </c>
      <c r="AB34" s="82">
        <f t="shared" ca="1" si="14"/>
        <v>0.14000000000000001</v>
      </c>
      <c r="AC34" s="83">
        <f t="shared" ca="1" si="15"/>
        <v>860</v>
      </c>
      <c r="AD34" s="83">
        <f t="shared" ca="1" si="16"/>
        <v>0</v>
      </c>
      <c r="AF34" s="45"/>
      <c r="AG34" s="6"/>
      <c r="AH34" s="6"/>
      <c r="AI34" s="95" t="str">
        <f ca="1">Calculations!I40</f>
        <v>Other</v>
      </c>
      <c r="AJ34" s="96">
        <f ca="1">Calculations!J40</f>
        <v>460</v>
      </c>
      <c r="AK34" s="46"/>
      <c r="AM34" s="45"/>
      <c r="AN34" s="6"/>
      <c r="AO34" s="6"/>
      <c r="AP34" s="95" t="e">
        <f ca="1">Calculations!M40</f>
        <v>#N/A</v>
      </c>
      <c r="AQ34" s="96" t="e">
        <f ca="1">Calculations!N40</f>
        <v>#N/A</v>
      </c>
      <c r="AR34" s="46"/>
    </row>
    <row r="35" spans="3:44" x14ac:dyDescent="0.25">
      <c r="C35" s="5">
        <f>IF(C34=-1,-1, IF(C34&lt;income_max_row, C34+1, IF(C34=income_max_row, income_total_row,                                                                                                                                                                                       IF(C34=income_total_row, "/1",  IF(C34="/1",expenses_header_row,   IF(C34&lt;expenses_max_row,C34+1,                                                                                                                                                                       IF(C34=expenses_max_row,expenses_total_row,                     IF(C34=expenses_total_row, "/2",  IF(C34="/2",Savings_header_row,   IF(C34&lt;Savings_max_row,C34+1,                                                                                                                                                                       IF(C34=Savings_max_row,Savings_total_row,                     -1)))))))))))</f>
        <v>44</v>
      </c>
      <c r="D35" s="6">
        <f t="shared" si="0"/>
        <v>40</v>
      </c>
      <c r="E35" s="5">
        <f>1*OR(row_id=income_header_row,row_id=expenses_header_row,row_id=Savings_header_row)</f>
        <v>0</v>
      </c>
      <c r="F35" s="6">
        <f t="shared" si="1"/>
        <v>1</v>
      </c>
      <c r="G35" s="6">
        <f>1*OR(row_id=income_total_row,row_id=expenses_total_row, row_id=Savings_total_row)</f>
        <v>0</v>
      </c>
      <c r="H35" s="7">
        <f t="shared" si="2"/>
        <v>0</v>
      </c>
      <c r="I35" s="5" t="str">
        <f>IFERROR(INDEX('Budget Planning'!C:C, header_row_id),"")</f>
        <v>Savings</v>
      </c>
      <c r="J35" s="6" t="str">
        <f>IFERROR(INDEX('Budget Planning'!C:C, row_id),"")</f>
        <v>Sinking Fund Down Payment</v>
      </c>
      <c r="K35"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0</v>
      </c>
      <c r="L35" s="78">
        <f>IF(OR(is_header, is_empty), "",
   INDEX('Budget Planning'!$E:$FA, row_id,  MATCH(IF(selected_period="Total Year", selected_year,DATE(selected_year,selected_period,1)), 'Budget Planning'!$E$9:$FA$9,0)))</f>
        <v>0</v>
      </c>
      <c r="M35" s="5">
        <f>IF(is_cat, IF(header_row_id=income_header_row,MATCH(income_min_row, $C:$C,0),    IF(header_row_id=expenses_header_row,MATCH(expenses_min_row, $C:$C,0),                 IF(header_row_id=Savings_header_row,MATCH(Savings_min_row, $C:$C,0),""))),"")</f>
        <v>32</v>
      </c>
      <c r="N35" s="7">
        <f>IF(is_cat, IF(header_row_id=income_header_row,MATCH(income_max_row, $C:$C,0),    IF(header_row_id=expenses_header_row,MATCH(expenses_max_row, $C:$C,0),                 IF(header_row_id=Savings_header_row,MATCH(Savings_max_row, $C:$C,0),""))),"")</f>
        <v>36</v>
      </c>
      <c r="O35" s="5" t="str">
        <f t="shared" si="3"/>
        <v>$K$32:$K$36</v>
      </c>
      <c r="P35" s="6">
        <f t="shared" ca="1" si="4"/>
        <v>4</v>
      </c>
      <c r="Q35" s="6" t="str">
        <f t="shared" si="5"/>
        <v>$L$32:$L$36</v>
      </c>
      <c r="R35" s="6">
        <f t="shared" ca="1" si="6"/>
        <v>5</v>
      </c>
      <c r="S35" s="5">
        <f t="shared" ca="1" si="7"/>
        <v>45</v>
      </c>
      <c r="T35" s="5">
        <f>IF(is_cat, IF(header_row_id=income_header_row,MATCH(income_min_row, $C:$C,0),    IF(header_row_id=expenses_header_row,MATCH(expenses_min_row, $C:$C,0),                 IF(header_row_id=Savings_header_row,MATCH(Savings_min_row, $C:$C,0),""))),"")</f>
        <v>32</v>
      </c>
      <c r="U35" s="7">
        <f>IF(is_cat, IF(header_row_id=income_header_row,MATCH(income_max_row, $C:$C,0),    IF(header_row_id=expenses_header_row,MATCH(expenses_max_row, $C:$C,0),                 IF(header_row_id=Savings_header_row,MATCH(Savings_max_row, $C:$C,0),""))),"")</f>
        <v>36</v>
      </c>
      <c r="V35" s="5" t="str">
        <f t="shared" si="8"/>
        <v>$K$32:$K$36</v>
      </c>
      <c r="W35" s="6">
        <f t="shared" ca="1" si="9"/>
        <v>4</v>
      </c>
      <c r="X35" s="80">
        <f t="shared" ca="1" si="10"/>
        <v>44</v>
      </c>
      <c r="Y35" s="81" t="str">
        <f ca="1">IF(is_empty,"",INDEX($J:$J, MATCH(row_id, $X:$X, 0)))</f>
        <v>Sinking Fund Down Payment</v>
      </c>
      <c r="Z35" s="83">
        <f t="shared" ca="1" si="12"/>
        <v>0</v>
      </c>
      <c r="AA35" s="83">
        <f t="shared" ca="1" si="13"/>
        <v>0</v>
      </c>
      <c r="AB35" s="82" t="str">
        <f t="shared" ca="1" si="14"/>
        <v>-</v>
      </c>
      <c r="AC35" s="83">
        <f t="shared" ca="1" si="15"/>
        <v>0</v>
      </c>
      <c r="AD35" s="83">
        <f t="shared" ca="1" si="16"/>
        <v>0</v>
      </c>
      <c r="AF35" s="45"/>
      <c r="AG35" s="6"/>
      <c r="AH35" s="6"/>
      <c r="AI35" s="97" t="str">
        <f>Calculations!I41</f>
        <v>Total</v>
      </c>
      <c r="AJ35" s="98">
        <f ca="1">Calculations!J41</f>
        <v>3010</v>
      </c>
      <c r="AK35" s="46"/>
      <c r="AM35" s="45"/>
      <c r="AN35" s="6"/>
      <c r="AO35" s="6"/>
      <c r="AP35" s="97" t="str">
        <f>Calculations!M41</f>
        <v>Total</v>
      </c>
      <c r="AQ35" s="98">
        <f ca="1">Calculations!N41</f>
        <v>1040</v>
      </c>
      <c r="AR35" s="46"/>
    </row>
    <row r="36" spans="3:44" x14ac:dyDescent="0.25">
      <c r="C36" s="5">
        <f>IF(C35=-1,-1, IF(C35&lt;income_max_row, C35+1, IF(C35=income_max_row, income_total_row,                                                                                                                                                                                       IF(C35=income_total_row, "/1",  IF(C35="/1",expenses_header_row,   IF(C35&lt;expenses_max_row,C35+1,                                                                                                                                                                       IF(C35=expenses_max_row,expenses_total_row,                     IF(C35=expenses_total_row, "/2",  IF(C35="/2",Savings_header_row,   IF(C35&lt;Savings_max_row,C35+1,                                                                                                                                                                       IF(C35=Savings_max_row,Savings_total_row,                     -1)))))))))))</f>
        <v>45</v>
      </c>
      <c r="D36" s="6">
        <f t="shared" si="0"/>
        <v>40</v>
      </c>
      <c r="E36" s="5">
        <f>1*OR(row_id=income_header_row,row_id=expenses_header_row,row_id=Savings_header_row)</f>
        <v>0</v>
      </c>
      <c r="F36" s="6">
        <f t="shared" si="1"/>
        <v>1</v>
      </c>
      <c r="G36" s="6">
        <f>1*OR(row_id=income_total_row,row_id=expenses_total_row, row_id=Savings_total_row)</f>
        <v>0</v>
      </c>
      <c r="H36" s="7">
        <f t="shared" si="2"/>
        <v>0</v>
      </c>
      <c r="I36" s="5" t="str">
        <f>IFERROR(INDEX('Budget Planning'!C:C, header_row_id),"")</f>
        <v>Savings</v>
      </c>
      <c r="J36" s="6" t="str">
        <f>IFERROR(INDEX('Budget Planning'!C:C, row_id),"")</f>
        <v>Sinking Fund Rest</v>
      </c>
      <c r="K36"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0</v>
      </c>
      <c r="L36" s="78">
        <f>IF(OR(is_header, is_empty), "",
   INDEX('Budget Planning'!$E:$FA, row_id,  MATCH(IF(selected_period="Total Year", selected_year,DATE(selected_year,selected_period,1)), 'Budget Planning'!$E$9:$FA$9,0)))</f>
        <v>100</v>
      </c>
      <c r="M36" s="5">
        <f>IF(is_cat, IF(header_row_id=income_header_row,MATCH(income_min_row, $C:$C,0),    IF(header_row_id=expenses_header_row,MATCH(expenses_min_row, $C:$C,0),                 IF(header_row_id=Savings_header_row,MATCH(Savings_min_row, $C:$C,0),""))),"")</f>
        <v>32</v>
      </c>
      <c r="N36" s="7">
        <f>IF(is_cat, IF(header_row_id=income_header_row,MATCH(income_max_row, $C:$C,0),    IF(header_row_id=expenses_header_row,MATCH(expenses_max_row, $C:$C,0),                 IF(header_row_id=Savings_header_row,MATCH(Savings_max_row, $C:$C,0),""))),"")</f>
        <v>36</v>
      </c>
      <c r="O36" s="5" t="str">
        <f t="shared" si="3"/>
        <v>$K$32:$K$36</v>
      </c>
      <c r="P36" s="6">
        <f t="shared" ca="1" si="4"/>
        <v>4</v>
      </c>
      <c r="Q36" s="6" t="str">
        <f t="shared" si="5"/>
        <v>$L$32:$L$36</v>
      </c>
      <c r="R36" s="6">
        <f t="shared" ca="1" si="6"/>
        <v>4</v>
      </c>
      <c r="S36" s="5">
        <f t="shared" ca="1" si="7"/>
        <v>44</v>
      </c>
      <c r="T36" s="5">
        <f>IF(is_cat, IF(header_row_id=income_header_row,MATCH(income_min_row, $C:$C,0),    IF(header_row_id=expenses_header_row,MATCH(expenses_min_row, $C:$C,0),                 IF(header_row_id=Savings_header_row,MATCH(Savings_min_row, $C:$C,0),""))),"")</f>
        <v>32</v>
      </c>
      <c r="U36" s="7">
        <f>IF(is_cat, IF(header_row_id=income_header_row,MATCH(income_max_row, $C:$C,0),    IF(header_row_id=expenses_header_row,MATCH(expenses_max_row, $C:$C,0),                 IF(header_row_id=Savings_header_row,MATCH(Savings_max_row, $C:$C,0),""))),"")</f>
        <v>36</v>
      </c>
      <c r="V36" s="5" t="str">
        <f t="shared" si="8"/>
        <v>$K$32:$K$36</v>
      </c>
      <c r="W36" s="6">
        <f t="shared" ca="1" si="9"/>
        <v>4</v>
      </c>
      <c r="X36" s="80">
        <f t="shared" ca="1" si="10"/>
        <v>44</v>
      </c>
      <c r="Y36" s="81" t="e">
        <f ca="1">IF(is_empty,"",INDEX($J:$J, MATCH(row_id, $X:$X, 0)))</f>
        <v>#N/A</v>
      </c>
      <c r="Z36" s="83" t="e">
        <f t="shared" ca="1" si="12"/>
        <v>#N/A</v>
      </c>
      <c r="AA36" s="83" t="e">
        <f t="shared" ca="1" si="13"/>
        <v>#N/A</v>
      </c>
      <c r="AB36" s="82" t="str">
        <f t="shared" ca="1" si="14"/>
        <v>-</v>
      </c>
      <c r="AC36" s="83" t="e">
        <f t="shared" ca="1" si="15"/>
        <v>#N/A</v>
      </c>
      <c r="AD36" s="83" t="e">
        <f t="shared" ca="1" si="16"/>
        <v>#N/A</v>
      </c>
      <c r="AF36" s="45"/>
      <c r="AG36" s="6"/>
      <c r="AH36" s="6"/>
      <c r="AI36" s="6"/>
      <c r="AJ36" s="6"/>
      <c r="AK36" s="46"/>
      <c r="AM36" s="45"/>
      <c r="AN36" s="6"/>
      <c r="AO36" s="6"/>
      <c r="AP36" s="6"/>
      <c r="AQ36" s="6"/>
      <c r="AR36" s="46"/>
    </row>
    <row r="37" spans="3:44" x14ac:dyDescent="0.25">
      <c r="C37" s="5">
        <f>IF(C36=-1,-1, IF(C36&lt;income_max_row, C36+1, IF(C36=income_max_row, income_total_row,                                                                                                                                                                                       IF(C36=income_total_row, "/1",  IF(C36="/1",expenses_header_row,   IF(C36&lt;expenses_max_row,C36+1,                                                                                                                                                                       IF(C36=expenses_max_row,expenses_total_row,                     IF(C36=expenses_total_row, "/2",  IF(C36="/2",Savings_header_row,   IF(C36&lt;Savings_max_row,C36+1,                                                                                                                                                                       IF(C36=Savings_max_row,Savings_total_row,                     -1)))))))))))</f>
        <v>51</v>
      </c>
      <c r="D37" s="6">
        <f t="shared" si="0"/>
        <v>40</v>
      </c>
      <c r="E37" s="5">
        <f>1*OR(row_id=income_header_row,row_id=expenses_header_row,row_id=Savings_header_row)</f>
        <v>0</v>
      </c>
      <c r="F37" s="6">
        <f t="shared" si="1"/>
        <v>0</v>
      </c>
      <c r="G37" s="6">
        <f>1*OR(row_id=income_total_row,row_id=expenses_total_row, row_id=Savings_total_row)</f>
        <v>1</v>
      </c>
      <c r="H37" s="7">
        <f t="shared" si="2"/>
        <v>0</v>
      </c>
      <c r="I37" s="5" t="str">
        <f>IFERROR(INDEX('Budget Planning'!C:C, header_row_id),"")</f>
        <v>Savings</v>
      </c>
      <c r="J37" s="6" t="str">
        <f>IFERROR(INDEX('Budget Planning'!C:C, row_id),"")</f>
        <v>Total</v>
      </c>
      <c r="K37" s="72">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1040</v>
      </c>
      <c r="L37" s="78">
        <f ca="1">IF(OR(is_header, is_empty), "",
   INDEX('Budget Planning'!$E:$FA, row_id,  MATCH(IF(selected_period="Total Year", selected_year,DATE(selected_year,selected_period,1)), 'Budget Planning'!$E$9:$FA$9,0)))</f>
        <v>1650</v>
      </c>
      <c r="M37" s="5" t="str">
        <f>IF(is_cat, IF(header_row_id=income_header_row,MATCH(income_min_row, $C:$C,0),    IF(header_row_id=expenses_header_row,MATCH(expenses_min_row, $C:$C,0),                 IF(header_row_id=Savings_header_row,MATCH(Savings_min_row, $C:$C,0),""))),"")</f>
        <v/>
      </c>
      <c r="N37" s="7" t="str">
        <f>IF(is_cat, IF(header_row_id=income_header_row,MATCH(income_max_row, $C:$C,0),    IF(header_row_id=expenses_header_row,MATCH(expenses_max_row, $C:$C,0),                 IF(header_row_id=Savings_header_row,MATCH(Savings_max_row, $C:$C,0),""))),"")</f>
        <v/>
      </c>
      <c r="O37" s="5" t="str">
        <f t="shared" si="3"/>
        <v/>
      </c>
      <c r="P37" s="6" t="str">
        <f t="shared" ca="1" si="4"/>
        <v/>
      </c>
      <c r="Q37" s="6" t="str">
        <f t="shared" si="5"/>
        <v/>
      </c>
      <c r="R37" s="6" t="str">
        <f t="shared" ca="1" si="6"/>
        <v/>
      </c>
      <c r="S37" s="5" t="str">
        <f t="shared" si="7"/>
        <v/>
      </c>
      <c r="T37" s="5" t="str">
        <f>IF(is_cat, IF(header_row_id=income_header_row,MATCH(income_min_row, $C:$C,0),    IF(header_row_id=expenses_header_row,MATCH(expenses_min_row, $C:$C,0),                 IF(header_row_id=Savings_header_row,MATCH(Savings_min_row, $C:$C,0),""))),"")</f>
        <v/>
      </c>
      <c r="U37" s="7" t="str">
        <f>IF(is_cat, IF(header_row_id=income_header_row,MATCH(income_max_row, $C:$C,0),    IF(header_row_id=expenses_header_row,MATCH(expenses_max_row, $C:$C,0),                 IF(header_row_id=Savings_header_row,MATCH(Savings_max_row, $C:$C,0),""))),"")</f>
        <v/>
      </c>
      <c r="V37" s="5" t="str">
        <f t="shared" si="8"/>
        <v/>
      </c>
      <c r="W37" s="6" t="str">
        <f t="shared" ca="1" si="9"/>
        <v/>
      </c>
      <c r="X37" s="80">
        <f t="shared" si="10"/>
        <v>51</v>
      </c>
      <c r="Y37" s="81" t="str">
        <f t="shared" ca="1" si="11"/>
        <v>Total</v>
      </c>
      <c r="Z37" s="83">
        <f t="shared" ca="1" si="12"/>
        <v>1040</v>
      </c>
      <c r="AA37" s="83">
        <f t="shared" ca="1" si="13"/>
        <v>1650</v>
      </c>
      <c r="AB37" s="82">
        <f t="shared" ca="1" si="14"/>
        <v>0.63030303030303025</v>
      </c>
      <c r="AC37" s="83">
        <f t="shared" ca="1" si="15"/>
        <v>610</v>
      </c>
      <c r="AD37" s="83">
        <f t="shared" ca="1" si="16"/>
        <v>0</v>
      </c>
      <c r="AF37" s="47"/>
      <c r="AG37" s="48"/>
      <c r="AH37" s="48"/>
      <c r="AI37" s="48"/>
      <c r="AJ37" s="48"/>
      <c r="AK37" s="49"/>
      <c r="AM37" s="47"/>
      <c r="AN37" s="48"/>
      <c r="AO37" s="48"/>
      <c r="AP37" s="48"/>
      <c r="AQ37" s="48"/>
      <c r="AR37" s="49"/>
    </row>
    <row r="38" spans="3:44" x14ac:dyDescent="0.25">
      <c r="C38" s="5">
        <f>IF(C37=-1,-1, IF(C37&lt;income_max_row, C37+1, IF(C37=income_max_row, income_total_row,                                                                                                                                                                                       IF(C37=income_total_row, "/1",  IF(C37="/1",expenses_header_row,   IF(C37&lt;expenses_max_row,C37+1,                                                                                                                                                                       IF(C37=expenses_max_row,expenses_total_row,                     IF(C37=expenses_total_row, "/2",  IF(C37="/2",Savings_header_row,   IF(C37&lt;Savings_max_row,C37+1,                                                                                                                                                                       IF(C37=Savings_max_row,Savings_total_row,                     -1)))))))))))</f>
        <v>-1</v>
      </c>
      <c r="D38" s="6">
        <f t="shared" si="0"/>
        <v>-1</v>
      </c>
      <c r="E38" s="5">
        <f>1*OR(row_id=income_header_row,row_id=expenses_header_row,row_id=Savings_header_row)</f>
        <v>0</v>
      </c>
      <c r="F38" s="6">
        <f t="shared" si="1"/>
        <v>0</v>
      </c>
      <c r="G38" s="6">
        <f>1*OR(row_id=income_total_row,row_id=expenses_total_row, row_id=Savings_total_row)</f>
        <v>0</v>
      </c>
      <c r="H38" s="7">
        <f t="shared" si="2"/>
        <v>1</v>
      </c>
      <c r="I38" s="5" t="str">
        <f>IFERROR(INDEX('Budget Planning'!C:C, header_row_id),"")</f>
        <v/>
      </c>
      <c r="J38" s="6" t="str">
        <f>IFERROR(INDEX('Budget Planning'!C:C, row_id),"")</f>
        <v/>
      </c>
      <c r="K38"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38" s="78" t="str">
        <f>IF(OR(is_header, is_empty), "",
   INDEX('Budget Planning'!$E:$FA, row_id,  MATCH(IF(selected_period="Total Year", selected_year,DATE(selected_year,selected_period,1)), 'Budget Planning'!$E$9:$FA$9,0)))</f>
        <v/>
      </c>
      <c r="M38" s="5" t="str">
        <f>IF(is_cat, IF(header_row_id=income_header_row,MATCH(income_min_row, $C:$C,0),    IF(header_row_id=expenses_header_row,MATCH(expenses_min_row, $C:$C,0),                 IF(header_row_id=Savings_header_row,MATCH(Savings_min_row, $C:$C,0),""))),"")</f>
        <v/>
      </c>
      <c r="N38" s="7" t="str">
        <f>IF(is_cat, IF(header_row_id=income_header_row,MATCH(income_max_row, $C:$C,0),    IF(header_row_id=expenses_header_row,MATCH(expenses_max_row, $C:$C,0),                 IF(header_row_id=Savings_header_row,MATCH(Savings_max_row, $C:$C,0),""))),"")</f>
        <v/>
      </c>
      <c r="O38" s="5" t="str">
        <f t="shared" si="3"/>
        <v/>
      </c>
      <c r="P38" s="6" t="str">
        <f t="shared" ca="1" si="4"/>
        <v/>
      </c>
      <c r="Q38" s="6" t="str">
        <f t="shared" si="5"/>
        <v/>
      </c>
      <c r="R38" s="6" t="str">
        <f t="shared" ca="1" si="6"/>
        <v/>
      </c>
      <c r="S38" s="5" t="str">
        <f t="shared" si="7"/>
        <v/>
      </c>
      <c r="T38" s="5" t="str">
        <f>IF(is_cat, IF(header_row_id=income_header_row,MATCH(income_min_row, $C:$C,0),    IF(header_row_id=expenses_header_row,MATCH(expenses_min_row, $C:$C,0),                 IF(header_row_id=Savings_header_row,MATCH(Savings_min_row, $C:$C,0),""))),"")</f>
        <v/>
      </c>
      <c r="U38" s="7" t="str">
        <f>IF(is_cat, IF(header_row_id=income_header_row,MATCH(income_max_row, $C:$C,0),    IF(header_row_id=expenses_header_row,MATCH(expenses_max_row, $C:$C,0),                 IF(header_row_id=Savings_header_row,MATCH(Savings_max_row, $C:$C,0),""))),"")</f>
        <v/>
      </c>
      <c r="V38" s="5" t="str">
        <f t="shared" si="8"/>
        <v/>
      </c>
      <c r="W38" s="6" t="str">
        <f t="shared" ca="1" si="9"/>
        <v/>
      </c>
      <c r="X38" s="80">
        <f t="shared" si="10"/>
        <v>-1</v>
      </c>
      <c r="Y38" s="81" t="str">
        <f t="shared" si="11"/>
        <v/>
      </c>
      <c r="Z38" s="83" t="str">
        <f t="shared" si="12"/>
        <v/>
      </c>
      <c r="AA38" s="83" t="str">
        <f t="shared" si="13"/>
        <v/>
      </c>
      <c r="AB38" s="82" t="str">
        <f t="shared" si="14"/>
        <v/>
      </c>
      <c r="AC38" s="83" t="str">
        <f t="shared" si="15"/>
        <v/>
      </c>
      <c r="AD38" s="83" t="str">
        <f t="shared" si="16"/>
        <v/>
      </c>
    </row>
    <row r="39" spans="3:44" x14ac:dyDescent="0.25">
      <c r="C39" s="5">
        <f>IF(C38=-1,-1, IF(C38&lt;income_max_row, C38+1, IF(C38=income_max_row, income_total_row,                                                                                                                                                                                       IF(C38=income_total_row, "/1",  IF(C38="/1",expenses_header_row,   IF(C38&lt;expenses_max_row,C38+1,                                                                                                                                                                       IF(C38=expenses_max_row,expenses_total_row,                     IF(C38=expenses_total_row, "/2",  IF(C38="/2",Savings_header_row,   IF(C38&lt;Savings_max_row,C38+1,                                                                                                                                                                       IF(C38=Savings_max_row,Savings_total_row,                     -1)))))))))))</f>
        <v>-1</v>
      </c>
      <c r="D39" s="6">
        <f t="shared" si="0"/>
        <v>-1</v>
      </c>
      <c r="E39" s="5">
        <f>1*OR(row_id=income_header_row,row_id=expenses_header_row,row_id=Savings_header_row)</f>
        <v>0</v>
      </c>
      <c r="F39" s="6">
        <f t="shared" si="1"/>
        <v>0</v>
      </c>
      <c r="G39" s="6">
        <f>1*OR(row_id=income_total_row,row_id=expenses_total_row, row_id=Savings_total_row)</f>
        <v>0</v>
      </c>
      <c r="H39" s="7">
        <f t="shared" si="2"/>
        <v>1</v>
      </c>
      <c r="I39" s="5" t="str">
        <f>IFERROR(INDEX('Budget Planning'!C:C, header_row_id),"")</f>
        <v/>
      </c>
      <c r="J39" s="6" t="str">
        <f>IFERROR(INDEX('Budget Planning'!C:C, row_id),"")</f>
        <v/>
      </c>
      <c r="K39"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39" s="78" t="str">
        <f>IF(OR(is_header, is_empty), "",
   INDEX('Budget Planning'!$E:$FA, row_id,  MATCH(IF(selected_period="Total Year", selected_year,DATE(selected_year,selected_period,1)), 'Budget Planning'!$E$9:$FA$9,0)))</f>
        <v/>
      </c>
      <c r="M39" s="5" t="str">
        <f>IF(is_cat, IF(header_row_id=income_header_row,MATCH(income_min_row, $C:$C,0),    IF(header_row_id=expenses_header_row,MATCH(expenses_min_row, $C:$C,0),                 IF(header_row_id=Savings_header_row,MATCH(Savings_min_row, $C:$C,0),""))),"")</f>
        <v/>
      </c>
      <c r="N39" s="7" t="str">
        <f>IF(is_cat, IF(header_row_id=income_header_row,MATCH(income_max_row, $C:$C,0),    IF(header_row_id=expenses_header_row,MATCH(expenses_max_row, $C:$C,0),                 IF(header_row_id=Savings_header_row,MATCH(Savings_max_row, $C:$C,0),""))),"")</f>
        <v/>
      </c>
      <c r="O39" s="5" t="str">
        <f t="shared" si="3"/>
        <v/>
      </c>
      <c r="P39" s="6" t="str">
        <f t="shared" ca="1" si="4"/>
        <v/>
      </c>
      <c r="Q39" s="6" t="str">
        <f t="shared" si="5"/>
        <v/>
      </c>
      <c r="R39" s="6" t="str">
        <f t="shared" ca="1" si="6"/>
        <v/>
      </c>
      <c r="S39" s="5" t="str">
        <f t="shared" si="7"/>
        <v/>
      </c>
      <c r="T39" s="5" t="str">
        <f>IF(is_cat, IF(header_row_id=income_header_row,MATCH(income_min_row, $C:$C,0),    IF(header_row_id=expenses_header_row,MATCH(expenses_min_row, $C:$C,0),                 IF(header_row_id=Savings_header_row,MATCH(Savings_min_row, $C:$C,0),""))),"")</f>
        <v/>
      </c>
      <c r="U39" s="7" t="str">
        <f>IF(is_cat, IF(header_row_id=income_header_row,MATCH(income_max_row, $C:$C,0),    IF(header_row_id=expenses_header_row,MATCH(expenses_max_row, $C:$C,0),                 IF(header_row_id=Savings_header_row,MATCH(Savings_max_row, $C:$C,0),""))),"")</f>
        <v/>
      </c>
      <c r="V39" s="5" t="str">
        <f t="shared" si="8"/>
        <v/>
      </c>
      <c r="W39" s="6" t="str">
        <f t="shared" ca="1" si="9"/>
        <v/>
      </c>
      <c r="X39" s="80">
        <f t="shared" si="10"/>
        <v>-1</v>
      </c>
      <c r="Y39" s="81" t="str">
        <f t="shared" si="11"/>
        <v/>
      </c>
      <c r="Z39" s="83" t="str">
        <f t="shared" si="12"/>
        <v/>
      </c>
      <c r="AA39" s="83" t="str">
        <f t="shared" si="13"/>
        <v/>
      </c>
      <c r="AB39" s="82" t="str">
        <f t="shared" si="14"/>
        <v/>
      </c>
      <c r="AC39" s="83" t="str">
        <f t="shared" si="15"/>
        <v/>
      </c>
      <c r="AD39" s="83" t="str">
        <f t="shared" si="16"/>
        <v/>
      </c>
    </row>
    <row r="40" spans="3:44" x14ac:dyDescent="0.25">
      <c r="C40" s="5">
        <f>IF(C39=-1,-1, IF(C39&lt;income_max_row, C39+1, IF(C39=income_max_row, income_total_row,                                                                                                                                                                                       IF(C39=income_total_row, "/1",  IF(C39="/1",expenses_header_row,   IF(C39&lt;expenses_max_row,C39+1,                                                                                                                                                                       IF(C39=expenses_max_row,expenses_total_row,                     IF(C39=expenses_total_row, "/2",  IF(C39="/2",Savings_header_row,   IF(C39&lt;Savings_max_row,C39+1,                                                                                                                                                                       IF(C39=Savings_max_row,Savings_total_row,                     -1)))))))))))</f>
        <v>-1</v>
      </c>
      <c r="D40" s="6">
        <f t="shared" si="0"/>
        <v>-1</v>
      </c>
      <c r="E40" s="5">
        <f>1*OR(row_id=income_header_row,row_id=expenses_header_row,row_id=Savings_header_row)</f>
        <v>0</v>
      </c>
      <c r="F40" s="6">
        <f t="shared" si="1"/>
        <v>0</v>
      </c>
      <c r="G40" s="6">
        <f>1*OR(row_id=income_total_row,row_id=expenses_total_row, row_id=Savings_total_row)</f>
        <v>0</v>
      </c>
      <c r="H40" s="7">
        <f t="shared" si="2"/>
        <v>1</v>
      </c>
      <c r="I40" s="5" t="str">
        <f>IFERROR(INDEX('Budget Planning'!C:C, header_row_id),"")</f>
        <v/>
      </c>
      <c r="J40" s="6" t="str">
        <f>IFERROR(INDEX('Budget Planning'!C:C, row_id),"")</f>
        <v/>
      </c>
      <c r="K40"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0" s="78" t="str">
        <f>IF(OR(is_header, is_empty), "",
   INDEX('Budget Planning'!$E:$FA, row_id,  MATCH(IF(selected_period="Total Year", selected_year,DATE(selected_year,selected_period,1)), 'Budget Planning'!$E$9:$FA$9,0)))</f>
        <v/>
      </c>
      <c r="M40" s="5" t="str">
        <f>IF(is_cat, IF(header_row_id=income_header_row,MATCH(income_min_row, $C:$C,0),    IF(header_row_id=expenses_header_row,MATCH(expenses_min_row, $C:$C,0),                 IF(header_row_id=Savings_header_row,MATCH(Savings_min_row, $C:$C,0),""))),"")</f>
        <v/>
      </c>
      <c r="N40" s="7" t="str">
        <f>IF(is_cat, IF(header_row_id=income_header_row,MATCH(income_max_row, $C:$C,0),    IF(header_row_id=expenses_header_row,MATCH(expenses_max_row, $C:$C,0),                 IF(header_row_id=Savings_header_row,MATCH(Savings_max_row, $C:$C,0),""))),"")</f>
        <v/>
      </c>
      <c r="O40" s="5" t="str">
        <f t="shared" si="3"/>
        <v/>
      </c>
      <c r="P40" s="6" t="str">
        <f t="shared" ca="1" si="4"/>
        <v/>
      </c>
      <c r="Q40" s="6" t="str">
        <f t="shared" si="5"/>
        <v/>
      </c>
      <c r="R40" s="6" t="str">
        <f t="shared" ca="1" si="6"/>
        <v/>
      </c>
      <c r="S40" s="5" t="str">
        <f t="shared" si="7"/>
        <v/>
      </c>
      <c r="T40" s="5" t="str">
        <f>IF(is_cat, IF(header_row_id=income_header_row,MATCH(income_min_row, $C:$C,0),    IF(header_row_id=expenses_header_row,MATCH(expenses_min_row, $C:$C,0),                 IF(header_row_id=Savings_header_row,MATCH(Savings_min_row, $C:$C,0),""))),"")</f>
        <v/>
      </c>
      <c r="U40" s="7" t="str">
        <f>IF(is_cat, IF(header_row_id=income_header_row,MATCH(income_max_row, $C:$C,0),    IF(header_row_id=expenses_header_row,MATCH(expenses_max_row, $C:$C,0),                 IF(header_row_id=Savings_header_row,MATCH(Savings_max_row, $C:$C,0),""))),"")</f>
        <v/>
      </c>
      <c r="V40" s="5" t="str">
        <f t="shared" si="8"/>
        <v/>
      </c>
      <c r="W40" s="6" t="str">
        <f t="shared" ca="1" si="9"/>
        <v/>
      </c>
      <c r="X40" s="80">
        <f t="shared" si="10"/>
        <v>-1</v>
      </c>
      <c r="Y40" s="81" t="str">
        <f t="shared" si="11"/>
        <v/>
      </c>
      <c r="Z40" s="83" t="str">
        <f t="shared" si="12"/>
        <v/>
      </c>
      <c r="AA40" s="83" t="str">
        <f t="shared" si="13"/>
        <v/>
      </c>
      <c r="AB40" s="82" t="str">
        <f t="shared" si="14"/>
        <v/>
      </c>
      <c r="AC40" s="83" t="str">
        <f t="shared" si="15"/>
        <v/>
      </c>
      <c r="AD40" s="83" t="str">
        <f t="shared" si="16"/>
        <v/>
      </c>
    </row>
    <row r="41" spans="3:44" x14ac:dyDescent="0.25">
      <c r="C41" s="5">
        <f>IF(C40=-1,-1, IF(C40&lt;income_max_row, C40+1, IF(C40=income_max_row, income_total_row,                                                                                                                                                                                       IF(C40=income_total_row, "/1",  IF(C40="/1",expenses_header_row,   IF(C40&lt;expenses_max_row,C40+1,                                                                                                                                                                       IF(C40=expenses_max_row,expenses_total_row,                     IF(C40=expenses_total_row, "/2",  IF(C40="/2",Savings_header_row,   IF(C40&lt;Savings_max_row,C40+1,                                                                                                                                                                       IF(C40=Savings_max_row,Savings_total_row,                     -1)))))))))))</f>
        <v>-1</v>
      </c>
      <c r="D41" s="6">
        <f t="shared" si="0"/>
        <v>-1</v>
      </c>
      <c r="E41" s="5">
        <f>1*OR(row_id=income_header_row,row_id=expenses_header_row,row_id=Savings_header_row)</f>
        <v>0</v>
      </c>
      <c r="F41" s="6">
        <f t="shared" si="1"/>
        <v>0</v>
      </c>
      <c r="G41" s="6">
        <f>1*OR(row_id=income_total_row,row_id=expenses_total_row, row_id=Savings_total_row)</f>
        <v>0</v>
      </c>
      <c r="H41" s="7">
        <f t="shared" si="2"/>
        <v>1</v>
      </c>
      <c r="I41" s="5" t="str">
        <f>IFERROR(INDEX('Budget Planning'!C:C, header_row_id),"")</f>
        <v/>
      </c>
      <c r="J41" s="6" t="str">
        <f>IFERROR(INDEX('Budget Planning'!C:C, row_id),"")</f>
        <v/>
      </c>
      <c r="K41"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1" s="78" t="str">
        <f>IF(OR(is_header, is_empty), "",
   INDEX('Budget Planning'!$E:$FA, row_id,  MATCH(IF(selected_period="Total Year", selected_year,DATE(selected_year,selected_period,1)), 'Budget Planning'!$E$9:$FA$9,0)))</f>
        <v/>
      </c>
      <c r="M41" s="5" t="str">
        <f>IF(is_cat, IF(header_row_id=income_header_row,MATCH(income_min_row, $C:$C,0),    IF(header_row_id=expenses_header_row,MATCH(expenses_min_row, $C:$C,0),                 IF(header_row_id=Savings_header_row,MATCH(Savings_min_row, $C:$C,0),""))),"")</f>
        <v/>
      </c>
      <c r="N41" s="7" t="str">
        <f>IF(is_cat, IF(header_row_id=income_header_row,MATCH(income_max_row, $C:$C,0),    IF(header_row_id=expenses_header_row,MATCH(expenses_max_row, $C:$C,0),                 IF(header_row_id=Savings_header_row,MATCH(Savings_max_row, $C:$C,0),""))),"")</f>
        <v/>
      </c>
      <c r="O41" s="5" t="str">
        <f t="shared" si="3"/>
        <v/>
      </c>
      <c r="P41" s="6" t="str">
        <f t="shared" ca="1" si="4"/>
        <v/>
      </c>
      <c r="Q41" s="6" t="str">
        <f t="shared" si="5"/>
        <v/>
      </c>
      <c r="R41" s="6" t="str">
        <f t="shared" ca="1" si="6"/>
        <v/>
      </c>
      <c r="S41" s="5" t="str">
        <f t="shared" si="7"/>
        <v/>
      </c>
      <c r="T41" s="5" t="str">
        <f>IF(is_cat, IF(header_row_id=income_header_row,MATCH(income_min_row, $C:$C,0),    IF(header_row_id=expenses_header_row,MATCH(expenses_min_row, $C:$C,0),                 IF(header_row_id=Savings_header_row,MATCH(Savings_min_row, $C:$C,0),""))),"")</f>
        <v/>
      </c>
      <c r="U41" s="7" t="str">
        <f>IF(is_cat, IF(header_row_id=income_header_row,MATCH(income_max_row, $C:$C,0),    IF(header_row_id=expenses_header_row,MATCH(expenses_max_row, $C:$C,0),                 IF(header_row_id=Savings_header_row,MATCH(Savings_max_row, $C:$C,0),""))),"")</f>
        <v/>
      </c>
      <c r="V41" s="5" t="str">
        <f t="shared" si="8"/>
        <v/>
      </c>
      <c r="W41" s="6" t="str">
        <f t="shared" ca="1" si="9"/>
        <v/>
      </c>
      <c r="X41" s="80">
        <f t="shared" si="10"/>
        <v>-1</v>
      </c>
      <c r="Y41" s="81" t="str">
        <f t="shared" si="11"/>
        <v/>
      </c>
      <c r="Z41" s="83"/>
      <c r="AA41" s="83" t="str">
        <f t="shared" si="13"/>
        <v/>
      </c>
      <c r="AB41" s="82" t="str">
        <f t="shared" si="14"/>
        <v/>
      </c>
      <c r="AC41" s="83" t="str">
        <f t="shared" si="15"/>
        <v/>
      </c>
      <c r="AD41" s="83" t="str">
        <f t="shared" si="16"/>
        <v/>
      </c>
    </row>
    <row r="42" spans="3:44" x14ac:dyDescent="0.25">
      <c r="C42" s="5">
        <f>IF(C41=-1,-1, IF(C41&lt;income_max_row, C41+1, IF(C41=income_max_row, income_total_row,                                                                                                                                                                                       IF(C41=income_total_row, "/1",  IF(C41="/1",expenses_header_row,   IF(C41&lt;expenses_max_row,C41+1,                                                                                                                                                                       IF(C41=expenses_max_row,expenses_total_row,                     IF(C41=expenses_total_row, "/2",  IF(C41="/2",Savings_header_row,   IF(C41&lt;Savings_max_row,C41+1,                                                                                                                                                                       IF(C41=Savings_max_row,Savings_total_row,                     -1)))))))))))</f>
        <v>-1</v>
      </c>
      <c r="D42" s="6">
        <f t="shared" si="0"/>
        <v>-1</v>
      </c>
      <c r="E42" s="5">
        <f>1*OR(row_id=income_header_row,row_id=expenses_header_row,row_id=Savings_header_row)</f>
        <v>0</v>
      </c>
      <c r="F42" s="6">
        <f t="shared" si="1"/>
        <v>0</v>
      </c>
      <c r="G42" s="6">
        <f>1*OR(row_id=income_total_row,row_id=expenses_total_row, row_id=Savings_total_row)</f>
        <v>0</v>
      </c>
      <c r="H42" s="7">
        <f t="shared" si="2"/>
        <v>1</v>
      </c>
      <c r="I42" s="5" t="str">
        <f>IFERROR(INDEX('Budget Planning'!C:C, header_row_id),"")</f>
        <v/>
      </c>
      <c r="J42" s="6" t="str">
        <f>IFERROR(INDEX('Budget Planning'!C:C, row_id),"")</f>
        <v/>
      </c>
      <c r="K42"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2" s="78" t="str">
        <f>IF(OR(is_header, is_empty), "",
   INDEX('Budget Planning'!$E:$FA, row_id,  MATCH(IF(selected_period="Total Year", selected_year,DATE(selected_year,selected_period,1)), 'Budget Planning'!$E$9:$FA$9,0)))</f>
        <v/>
      </c>
      <c r="M42" s="5" t="str">
        <f>IF(is_cat, IF(header_row_id=income_header_row,MATCH(income_min_row, $C:$C,0),    IF(header_row_id=expenses_header_row,MATCH(expenses_min_row, $C:$C,0),                 IF(header_row_id=Savings_header_row,MATCH(Savings_min_row, $C:$C,0),""))),"")</f>
        <v/>
      </c>
      <c r="N42" s="7" t="str">
        <f>IF(is_cat, IF(header_row_id=income_header_row,MATCH(income_max_row, $C:$C,0),    IF(header_row_id=expenses_header_row,MATCH(expenses_max_row, $C:$C,0),                 IF(header_row_id=Savings_header_row,MATCH(Savings_max_row, $C:$C,0),""))),"")</f>
        <v/>
      </c>
      <c r="O42" s="5" t="str">
        <f t="shared" si="3"/>
        <v/>
      </c>
      <c r="P42" s="6" t="str">
        <f t="shared" ca="1" si="4"/>
        <v/>
      </c>
      <c r="Q42" s="6" t="str">
        <f t="shared" si="5"/>
        <v/>
      </c>
      <c r="R42" s="6" t="str">
        <f t="shared" ca="1" si="6"/>
        <v/>
      </c>
      <c r="S42" s="5" t="str">
        <f t="shared" si="7"/>
        <v/>
      </c>
      <c r="T42" s="5" t="str">
        <f>IF(is_cat, IF(header_row_id=income_header_row,MATCH(income_min_row, $C:$C,0),    IF(header_row_id=expenses_header_row,MATCH(expenses_min_row, $C:$C,0),                 IF(header_row_id=Savings_header_row,MATCH(Savings_min_row, $C:$C,0),""))),"")</f>
        <v/>
      </c>
      <c r="U42" s="7" t="str">
        <f>IF(is_cat, IF(header_row_id=income_header_row,MATCH(income_max_row, $C:$C,0),    IF(header_row_id=expenses_header_row,MATCH(expenses_max_row, $C:$C,0),                 IF(header_row_id=Savings_header_row,MATCH(Savings_max_row, $C:$C,0),""))),"")</f>
        <v/>
      </c>
      <c r="V42" s="5" t="str">
        <f t="shared" si="8"/>
        <v/>
      </c>
      <c r="W42" s="6" t="str">
        <f t="shared" ca="1" si="9"/>
        <v/>
      </c>
      <c r="X42" s="80">
        <f t="shared" si="10"/>
        <v>-1</v>
      </c>
      <c r="Y42" s="81" t="str">
        <f t="shared" si="11"/>
        <v/>
      </c>
      <c r="Z42" s="83" t="str">
        <f t="shared" si="12"/>
        <v/>
      </c>
      <c r="AA42" s="83" t="str">
        <f t="shared" si="13"/>
        <v/>
      </c>
      <c r="AB42" s="82" t="str">
        <f t="shared" si="14"/>
        <v/>
      </c>
      <c r="AC42" s="83" t="str">
        <f t="shared" si="15"/>
        <v/>
      </c>
      <c r="AD42" s="83" t="str">
        <f t="shared" si="16"/>
        <v/>
      </c>
    </row>
    <row r="43" spans="3:44" x14ac:dyDescent="0.25">
      <c r="C43" s="5">
        <f>IF(C42=-1,-1, IF(C42&lt;income_max_row, C42+1, IF(C42=income_max_row, income_total_row,                                                                                                                                                                                       IF(C42=income_total_row, "/1",  IF(C42="/1",expenses_header_row,   IF(C42&lt;expenses_max_row,C42+1,                                                                                                                                                                       IF(C42=expenses_max_row,expenses_total_row,                     IF(C42=expenses_total_row, "/2",  IF(C42="/2",Savings_header_row,   IF(C42&lt;Savings_max_row,C42+1,                                                                                                                                                                       IF(C42=Savings_max_row,Savings_total_row,                     -1)))))))))))</f>
        <v>-1</v>
      </c>
      <c r="D43" s="6">
        <f t="shared" si="0"/>
        <v>-1</v>
      </c>
      <c r="E43" s="5">
        <f>1*OR(row_id=income_header_row,row_id=expenses_header_row,row_id=Savings_header_row)</f>
        <v>0</v>
      </c>
      <c r="F43" s="6">
        <f t="shared" si="1"/>
        <v>0</v>
      </c>
      <c r="G43" s="6">
        <f>1*OR(row_id=income_total_row,row_id=expenses_total_row, row_id=Savings_total_row)</f>
        <v>0</v>
      </c>
      <c r="H43" s="7">
        <f t="shared" si="2"/>
        <v>1</v>
      </c>
      <c r="I43" s="5" t="str">
        <f>IFERROR(INDEX('Budget Planning'!C:C, header_row_id),"")</f>
        <v/>
      </c>
      <c r="J43" s="6" t="str">
        <f>IFERROR(INDEX('Budget Planning'!C:C, row_id),"")</f>
        <v/>
      </c>
      <c r="K43"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3" s="78" t="str">
        <f>IF(OR(is_header, is_empty), "",
   INDEX('Budget Planning'!$E:$FA, row_id,  MATCH(IF(selected_period="Total Year", selected_year,DATE(selected_year,selected_period,1)), 'Budget Planning'!$E$9:$FA$9,0)))</f>
        <v/>
      </c>
      <c r="M43" s="5" t="str">
        <f>IF(is_cat, IF(header_row_id=income_header_row,MATCH(income_min_row, $C:$C,0),    IF(header_row_id=expenses_header_row,MATCH(expenses_min_row, $C:$C,0),                 IF(header_row_id=Savings_header_row,MATCH(Savings_min_row, $C:$C,0),""))),"")</f>
        <v/>
      </c>
      <c r="N43" s="7" t="str">
        <f>IF(is_cat, IF(header_row_id=income_header_row,MATCH(income_max_row, $C:$C,0),    IF(header_row_id=expenses_header_row,MATCH(expenses_max_row, $C:$C,0),                 IF(header_row_id=Savings_header_row,MATCH(Savings_max_row, $C:$C,0),""))),"")</f>
        <v/>
      </c>
      <c r="O43" s="5" t="str">
        <f t="shared" si="3"/>
        <v/>
      </c>
      <c r="P43" s="6" t="str">
        <f t="shared" ca="1" si="4"/>
        <v/>
      </c>
      <c r="Q43" s="6" t="str">
        <f t="shared" si="5"/>
        <v/>
      </c>
      <c r="R43" s="6" t="str">
        <f t="shared" ca="1" si="6"/>
        <v/>
      </c>
      <c r="S43" s="5" t="str">
        <f t="shared" si="7"/>
        <v/>
      </c>
      <c r="T43" s="5" t="str">
        <f>IF(is_cat, IF(header_row_id=income_header_row,MATCH(income_min_row, $C:$C,0),    IF(header_row_id=expenses_header_row,MATCH(expenses_min_row, $C:$C,0),                 IF(header_row_id=Savings_header_row,MATCH(Savings_min_row, $C:$C,0),""))),"")</f>
        <v/>
      </c>
      <c r="U43" s="7" t="str">
        <f>IF(is_cat, IF(header_row_id=income_header_row,MATCH(income_max_row, $C:$C,0),    IF(header_row_id=expenses_header_row,MATCH(expenses_max_row, $C:$C,0),                 IF(header_row_id=Savings_header_row,MATCH(Savings_max_row, $C:$C,0),""))),"")</f>
        <v/>
      </c>
      <c r="V43" s="5" t="str">
        <f t="shared" si="8"/>
        <v/>
      </c>
      <c r="W43" s="6" t="str">
        <f t="shared" ca="1" si="9"/>
        <v/>
      </c>
      <c r="X43" s="80">
        <f t="shared" si="10"/>
        <v>-1</v>
      </c>
      <c r="Y43" s="81" t="str">
        <f t="shared" si="11"/>
        <v/>
      </c>
      <c r="Z43" s="83" t="str">
        <f>IF(is_empty,"",IF(is_header,"Tracked",INDEX($K:$K,MATCH(row_id, $X:$X,0))))</f>
        <v/>
      </c>
      <c r="AA43" s="83" t="str">
        <f t="shared" si="13"/>
        <v/>
      </c>
      <c r="AB43" s="82" t="str">
        <f t="shared" si="14"/>
        <v/>
      </c>
      <c r="AC43" s="83" t="str">
        <f t="shared" si="15"/>
        <v/>
      </c>
      <c r="AD43" s="83" t="str">
        <f t="shared" si="16"/>
        <v/>
      </c>
    </row>
    <row r="44" spans="3:44" x14ac:dyDescent="0.25">
      <c r="C44" s="5">
        <f>IF(C43=-1,-1, IF(C43&lt;income_max_row, C43+1, IF(C43=income_max_row, income_total_row,                                                                                                                                                                                       IF(C43=income_total_row, "/1",  IF(C43="/1",expenses_header_row,   IF(C43&lt;expenses_max_row,C43+1,                                                                                                                                                                       IF(C43=expenses_max_row,expenses_total_row,                     IF(C43=expenses_total_row, "/2",  IF(C43="/2",Savings_header_row,   IF(C43&lt;Savings_max_row,C43+1,                                                                                                                                                                       IF(C43=Savings_max_row,Savings_total_row,                     -1)))))))))))</f>
        <v>-1</v>
      </c>
      <c r="D44" s="6">
        <f t="shared" si="0"/>
        <v>-1</v>
      </c>
      <c r="E44" s="5">
        <f>1*OR(row_id=income_header_row,row_id=expenses_header_row,row_id=Savings_header_row)</f>
        <v>0</v>
      </c>
      <c r="F44" s="6">
        <f t="shared" si="1"/>
        <v>0</v>
      </c>
      <c r="G44" s="6">
        <f>1*OR(row_id=income_total_row,row_id=expenses_total_row, row_id=Savings_total_row)</f>
        <v>0</v>
      </c>
      <c r="H44" s="7">
        <f t="shared" si="2"/>
        <v>1</v>
      </c>
      <c r="I44" s="5" t="str">
        <f>IFERROR(INDEX('Budget Planning'!C:C, header_row_id),"")</f>
        <v/>
      </c>
      <c r="J44" s="6" t="str">
        <f>IFERROR(INDEX('Budget Planning'!C:C, row_id),"")</f>
        <v/>
      </c>
      <c r="K44"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4" s="78" t="str">
        <f>IF(OR(is_header, is_empty), "",
   INDEX('Budget Planning'!$E:$FA, row_id,  MATCH(IF(selected_period="Total Year", selected_year,DATE(selected_year,selected_period,1)), 'Budget Planning'!$E$9:$FA$9,0)))</f>
        <v/>
      </c>
      <c r="M44" s="5" t="str">
        <f>IF(is_cat, IF(header_row_id=income_header_row,MATCH(income_min_row, $C:$C,0),    IF(header_row_id=expenses_header_row,MATCH(expenses_min_row, $C:$C,0),                 IF(header_row_id=Savings_header_row,MATCH(Savings_min_row, $C:$C,0),""))),"")</f>
        <v/>
      </c>
      <c r="N44" s="7" t="str">
        <f>IF(is_cat, IF(header_row_id=income_header_row,MATCH(income_max_row, $C:$C,0),    IF(header_row_id=expenses_header_row,MATCH(expenses_max_row, $C:$C,0),                 IF(header_row_id=Savings_header_row,MATCH(Savings_max_row, $C:$C,0),""))),"")</f>
        <v/>
      </c>
      <c r="O44" s="5" t="str">
        <f t="shared" si="3"/>
        <v/>
      </c>
      <c r="P44" s="6" t="str">
        <f t="shared" ca="1" si="4"/>
        <v/>
      </c>
      <c r="Q44" s="6" t="str">
        <f t="shared" si="5"/>
        <v/>
      </c>
      <c r="R44" s="6" t="str">
        <f t="shared" ca="1" si="6"/>
        <v/>
      </c>
      <c r="S44" s="5" t="str">
        <f t="shared" si="7"/>
        <v/>
      </c>
      <c r="T44" s="5" t="str">
        <f>IF(is_cat, IF(header_row_id=income_header_row,MATCH(income_min_row, $C:$C,0),    IF(header_row_id=expenses_header_row,MATCH(expenses_min_row, $C:$C,0),                 IF(header_row_id=Savings_header_row,MATCH(Savings_min_row, $C:$C,0),""))),"")</f>
        <v/>
      </c>
      <c r="U44" s="7" t="str">
        <f>IF(is_cat, IF(header_row_id=income_header_row,MATCH(income_max_row, $C:$C,0),    IF(header_row_id=expenses_header_row,MATCH(expenses_max_row, $C:$C,0),                 IF(header_row_id=Savings_header_row,MATCH(Savings_max_row, $C:$C,0),""))),"")</f>
        <v/>
      </c>
      <c r="V44" s="5" t="str">
        <f t="shared" si="8"/>
        <v/>
      </c>
      <c r="W44" s="6" t="str">
        <f t="shared" ca="1" si="9"/>
        <v/>
      </c>
      <c r="X44" s="80">
        <f t="shared" si="10"/>
        <v>-1</v>
      </c>
      <c r="Y44" s="81" t="str">
        <f t="shared" si="11"/>
        <v/>
      </c>
      <c r="Z44" s="83" t="str">
        <f t="shared" si="12"/>
        <v/>
      </c>
      <c r="AA44" s="83" t="str">
        <f t="shared" si="13"/>
        <v/>
      </c>
      <c r="AB44" s="82" t="str">
        <f t="shared" si="14"/>
        <v/>
      </c>
      <c r="AC44" s="83" t="str">
        <f t="shared" si="15"/>
        <v/>
      </c>
      <c r="AD44" s="83" t="str">
        <f t="shared" si="16"/>
        <v/>
      </c>
    </row>
    <row r="45" spans="3:44" x14ac:dyDescent="0.25">
      <c r="C45" s="5">
        <f>IF(C44=-1,-1, IF(C44&lt;income_max_row, C44+1, IF(C44=income_max_row, income_total_row,                                                                                                                                                                                       IF(C44=income_total_row, "/1",  IF(C44="/1",expenses_header_row,   IF(C44&lt;expenses_max_row,C44+1,                                                                                                                                                                       IF(C44=expenses_max_row,expenses_total_row,                     IF(C44=expenses_total_row, "/2",  IF(C44="/2",Savings_header_row,   IF(C44&lt;Savings_max_row,C44+1,                                                                                                                                                                       IF(C44=Savings_max_row,Savings_total_row,                     -1)))))))))))</f>
        <v>-1</v>
      </c>
      <c r="D45" s="6">
        <f t="shared" si="0"/>
        <v>-1</v>
      </c>
      <c r="E45" s="5">
        <f>1*OR(row_id=income_header_row,row_id=expenses_header_row,row_id=Savings_header_row)</f>
        <v>0</v>
      </c>
      <c r="F45" s="6">
        <f t="shared" si="1"/>
        <v>0</v>
      </c>
      <c r="G45" s="6">
        <f>1*OR(row_id=income_total_row,row_id=expenses_total_row, row_id=Savings_total_row)</f>
        <v>0</v>
      </c>
      <c r="H45" s="7">
        <f t="shared" si="2"/>
        <v>1</v>
      </c>
      <c r="I45" s="5" t="str">
        <f>IFERROR(INDEX('Budget Planning'!C:C, header_row_id),"")</f>
        <v/>
      </c>
      <c r="J45" s="6" t="str">
        <f>IFERROR(INDEX('Budget Planning'!C:C, row_id),"")</f>
        <v/>
      </c>
      <c r="K45"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5" s="78" t="str">
        <f>IF(OR(is_header, is_empty), "",
   INDEX('Budget Planning'!$E:$FA, row_id,  MATCH(IF(selected_period="Total Year", selected_year,DATE(selected_year,selected_period,1)), 'Budget Planning'!$E$9:$FA$9,0)))</f>
        <v/>
      </c>
      <c r="M45" s="5" t="str">
        <f>IF(is_cat, IF(header_row_id=income_header_row,MATCH(income_min_row, $C:$C,0),    IF(header_row_id=expenses_header_row,MATCH(expenses_min_row, $C:$C,0),                 IF(header_row_id=Savings_header_row,MATCH(Savings_min_row, $C:$C,0),""))),"")</f>
        <v/>
      </c>
      <c r="N45" s="7" t="str">
        <f>IF(is_cat, IF(header_row_id=income_header_row,MATCH(income_max_row, $C:$C,0),    IF(header_row_id=expenses_header_row,MATCH(expenses_max_row, $C:$C,0),                 IF(header_row_id=Savings_header_row,MATCH(Savings_max_row, $C:$C,0),""))),"")</f>
        <v/>
      </c>
      <c r="O45" s="5" t="str">
        <f t="shared" si="3"/>
        <v/>
      </c>
      <c r="P45" s="6" t="str">
        <f t="shared" ca="1" si="4"/>
        <v/>
      </c>
      <c r="Q45" s="6" t="str">
        <f t="shared" si="5"/>
        <v/>
      </c>
      <c r="R45" s="6" t="str">
        <f t="shared" ca="1" si="6"/>
        <v/>
      </c>
      <c r="S45" s="5" t="str">
        <f t="shared" si="7"/>
        <v/>
      </c>
      <c r="T45" s="5" t="str">
        <f>IF(is_cat, IF(header_row_id=income_header_row,MATCH(income_min_row, $C:$C,0),    IF(header_row_id=expenses_header_row,MATCH(expenses_min_row, $C:$C,0),                 IF(header_row_id=Savings_header_row,MATCH(Savings_min_row, $C:$C,0),""))),"")</f>
        <v/>
      </c>
      <c r="U45" s="7" t="str">
        <f>IF(is_cat, IF(header_row_id=income_header_row,MATCH(income_max_row, $C:$C,0),    IF(header_row_id=expenses_header_row,MATCH(expenses_max_row, $C:$C,0),                 IF(header_row_id=Savings_header_row,MATCH(Savings_max_row, $C:$C,0),""))),"")</f>
        <v/>
      </c>
      <c r="V45" s="5" t="str">
        <f t="shared" si="8"/>
        <v/>
      </c>
      <c r="W45" s="6" t="str">
        <f t="shared" ca="1" si="9"/>
        <v/>
      </c>
      <c r="X45" s="80">
        <f t="shared" si="10"/>
        <v>-1</v>
      </c>
      <c r="Y45" s="81" t="str">
        <f t="shared" si="11"/>
        <v/>
      </c>
      <c r="Z45" s="83" t="str">
        <f t="shared" si="12"/>
        <v/>
      </c>
      <c r="AA45" s="83" t="str">
        <f t="shared" si="13"/>
        <v/>
      </c>
      <c r="AB45" s="82" t="str">
        <f t="shared" si="14"/>
        <v/>
      </c>
      <c r="AC45" s="83" t="str">
        <f t="shared" si="15"/>
        <v/>
      </c>
      <c r="AD45" s="83" t="str">
        <f t="shared" si="16"/>
        <v/>
      </c>
    </row>
    <row r="46" spans="3:44" x14ac:dyDescent="0.25">
      <c r="C46" s="5">
        <f>IF(C45=-1,-1, IF(C45&lt;income_max_row, C45+1, IF(C45=income_max_row, income_total_row,                                                                                                                                                                                       IF(C45=income_total_row, "/1",  IF(C45="/1",expenses_header_row,   IF(C45&lt;expenses_max_row,C45+1,                                                                                                                                                                       IF(C45=expenses_max_row,expenses_total_row,                     IF(C45=expenses_total_row, "/2",  IF(C45="/2",Savings_header_row,   IF(C45&lt;Savings_max_row,C45+1,                                                                                                                                                                       IF(C45=Savings_max_row,Savings_total_row,                     -1)))))))))))</f>
        <v>-1</v>
      </c>
      <c r="D46" s="6">
        <f t="shared" si="0"/>
        <v>-1</v>
      </c>
      <c r="E46" s="5">
        <f>1*OR(row_id=income_header_row,row_id=expenses_header_row,row_id=Savings_header_row)</f>
        <v>0</v>
      </c>
      <c r="F46" s="6">
        <f t="shared" si="1"/>
        <v>0</v>
      </c>
      <c r="G46" s="6">
        <f>1*OR(row_id=income_total_row,row_id=expenses_total_row, row_id=Savings_total_row)</f>
        <v>0</v>
      </c>
      <c r="H46" s="7">
        <f t="shared" si="2"/>
        <v>1</v>
      </c>
      <c r="I46" s="5" t="str">
        <f>IFERROR(INDEX('Budget Planning'!C:C, header_row_id),"")</f>
        <v/>
      </c>
      <c r="J46" s="6" t="str">
        <f>IFERROR(INDEX('Budget Planning'!C:C, row_id),"")</f>
        <v/>
      </c>
      <c r="K46"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6" s="78" t="str">
        <f>IF(OR(is_header, is_empty), "",
   INDEX('Budget Planning'!$E:$FA, row_id,  MATCH(IF(selected_period="Total Year", selected_year,DATE(selected_year,selected_period,1)), 'Budget Planning'!$E$9:$FA$9,0)))</f>
        <v/>
      </c>
      <c r="M46" s="5" t="str">
        <f>IF(is_cat, IF(header_row_id=income_header_row,MATCH(income_min_row, $C:$C,0),    IF(header_row_id=expenses_header_row,MATCH(expenses_min_row, $C:$C,0),                 IF(header_row_id=Savings_header_row,MATCH(Savings_min_row, $C:$C,0),""))),"")</f>
        <v/>
      </c>
      <c r="N46" s="7" t="str">
        <f>IF(is_cat, IF(header_row_id=income_header_row,MATCH(income_max_row, $C:$C,0),    IF(header_row_id=expenses_header_row,MATCH(expenses_max_row, $C:$C,0),                 IF(header_row_id=Savings_header_row,MATCH(Savings_max_row, $C:$C,0),""))),"")</f>
        <v/>
      </c>
      <c r="O46" s="5" t="str">
        <f t="shared" si="3"/>
        <v/>
      </c>
      <c r="P46" s="6" t="str">
        <f t="shared" ca="1" si="4"/>
        <v/>
      </c>
      <c r="Q46" s="6" t="str">
        <f t="shared" si="5"/>
        <v/>
      </c>
      <c r="R46" s="6" t="str">
        <f t="shared" ca="1" si="6"/>
        <v/>
      </c>
      <c r="S46" s="5" t="str">
        <f t="shared" si="7"/>
        <v/>
      </c>
      <c r="T46" s="5" t="str">
        <f>IF(is_cat, IF(header_row_id=income_header_row,MATCH(income_min_row, $C:$C,0),    IF(header_row_id=expenses_header_row,MATCH(expenses_min_row, $C:$C,0),                 IF(header_row_id=Savings_header_row,MATCH(Savings_min_row, $C:$C,0),""))),"")</f>
        <v/>
      </c>
      <c r="U46" s="7" t="str">
        <f>IF(is_cat, IF(header_row_id=income_header_row,MATCH(income_max_row, $C:$C,0),    IF(header_row_id=expenses_header_row,MATCH(expenses_max_row, $C:$C,0),                 IF(header_row_id=Savings_header_row,MATCH(Savings_max_row, $C:$C,0),""))),"")</f>
        <v/>
      </c>
      <c r="V46" s="5" t="str">
        <f t="shared" si="8"/>
        <v/>
      </c>
      <c r="W46" s="6" t="str">
        <f t="shared" ca="1" si="9"/>
        <v/>
      </c>
      <c r="X46" s="80">
        <f t="shared" si="10"/>
        <v>-1</v>
      </c>
      <c r="Y46" s="81" t="str">
        <f t="shared" si="11"/>
        <v/>
      </c>
      <c r="Z46" s="83" t="str">
        <f t="shared" si="12"/>
        <v/>
      </c>
      <c r="AA46" s="83" t="str">
        <f t="shared" si="13"/>
        <v/>
      </c>
      <c r="AB46" s="82" t="str">
        <f t="shared" si="14"/>
        <v/>
      </c>
      <c r="AC46" s="83" t="str">
        <f t="shared" si="15"/>
        <v/>
      </c>
      <c r="AD46" s="83" t="str">
        <f t="shared" si="16"/>
        <v/>
      </c>
    </row>
    <row r="47" spans="3:44" x14ac:dyDescent="0.25">
      <c r="C47" s="5">
        <f>IF(C46=-1,-1, IF(C46&lt;income_max_row, C46+1, IF(C46=income_max_row, income_total_row,                                                                                                                                                                                       IF(C46=income_total_row, "/1",  IF(C46="/1",expenses_header_row,   IF(C46&lt;expenses_max_row,C46+1,                                                                                                                                                                       IF(C46=expenses_max_row,expenses_total_row,                     IF(C46=expenses_total_row, "/2",  IF(C46="/2",Savings_header_row,   IF(C46&lt;Savings_max_row,C46+1,                                                                                                                                                                       IF(C46=Savings_max_row,Savings_total_row,                     -1)))))))))))</f>
        <v>-1</v>
      </c>
      <c r="D47" s="6">
        <f t="shared" si="0"/>
        <v>-1</v>
      </c>
      <c r="E47" s="5">
        <f>1*OR(row_id=income_header_row,row_id=expenses_header_row,row_id=Savings_header_row)</f>
        <v>0</v>
      </c>
      <c r="F47" s="6">
        <f t="shared" si="1"/>
        <v>0</v>
      </c>
      <c r="G47" s="6">
        <f>1*OR(row_id=income_total_row,row_id=expenses_total_row, row_id=Savings_total_row)</f>
        <v>0</v>
      </c>
      <c r="H47" s="7">
        <f t="shared" si="2"/>
        <v>1</v>
      </c>
      <c r="I47" s="5" t="str">
        <f>IFERROR(INDEX('Budget Planning'!C:C, header_row_id),"")</f>
        <v/>
      </c>
      <c r="J47" s="6" t="str">
        <f>IFERROR(INDEX('Budget Planning'!C:C, row_id),"")</f>
        <v/>
      </c>
      <c r="K47"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7" s="78" t="str">
        <f>IF(OR(is_header, is_empty), "",
   INDEX('Budget Planning'!$E:$FA, row_id,  MATCH(IF(selected_period="Total Year", selected_year,DATE(selected_year,selected_period,1)), 'Budget Planning'!$E$9:$FA$9,0)))</f>
        <v/>
      </c>
      <c r="M47" s="5" t="str">
        <f>IF(is_cat, IF(header_row_id=income_header_row,MATCH(income_min_row, $C:$C,0),    IF(header_row_id=expenses_header_row,MATCH(expenses_min_row, $C:$C,0),                 IF(header_row_id=Savings_header_row,MATCH(Savings_min_row, $C:$C,0),""))),"")</f>
        <v/>
      </c>
      <c r="N47" s="7" t="str">
        <f>IF(is_cat, IF(header_row_id=income_header_row,MATCH(income_max_row, $C:$C,0),    IF(header_row_id=expenses_header_row,MATCH(expenses_max_row, $C:$C,0),                 IF(header_row_id=Savings_header_row,MATCH(Savings_max_row, $C:$C,0),""))),"")</f>
        <v/>
      </c>
      <c r="O47" s="5" t="str">
        <f t="shared" si="3"/>
        <v/>
      </c>
      <c r="P47" s="6" t="str">
        <f t="shared" ca="1" si="4"/>
        <v/>
      </c>
      <c r="Q47" s="6" t="str">
        <f t="shared" si="5"/>
        <v/>
      </c>
      <c r="R47" s="6" t="str">
        <f t="shared" ca="1" si="6"/>
        <v/>
      </c>
      <c r="S47" s="5" t="str">
        <f t="shared" si="7"/>
        <v/>
      </c>
      <c r="T47" s="5" t="str">
        <f>IF(is_cat, IF(header_row_id=income_header_row,MATCH(income_min_row, $C:$C,0),    IF(header_row_id=expenses_header_row,MATCH(expenses_min_row, $C:$C,0),                 IF(header_row_id=Savings_header_row,MATCH(Savings_min_row, $C:$C,0),""))),"")</f>
        <v/>
      </c>
      <c r="U47" s="7" t="str">
        <f>IF(is_cat, IF(header_row_id=income_header_row,MATCH(income_max_row, $C:$C,0),    IF(header_row_id=expenses_header_row,MATCH(expenses_max_row, $C:$C,0),                 IF(header_row_id=Savings_header_row,MATCH(Savings_max_row, $C:$C,0),""))),"")</f>
        <v/>
      </c>
      <c r="V47" s="5" t="str">
        <f t="shared" si="8"/>
        <v/>
      </c>
      <c r="W47" s="6" t="str">
        <f t="shared" ca="1" si="9"/>
        <v/>
      </c>
      <c r="X47" s="80">
        <f t="shared" si="10"/>
        <v>-1</v>
      </c>
      <c r="Y47" s="81" t="str">
        <f t="shared" si="11"/>
        <v/>
      </c>
      <c r="Z47" s="83" t="str">
        <f t="shared" si="12"/>
        <v/>
      </c>
      <c r="AA47" s="83" t="str">
        <f t="shared" si="13"/>
        <v/>
      </c>
      <c r="AB47" s="82" t="str">
        <f t="shared" si="14"/>
        <v/>
      </c>
      <c r="AC47" s="83" t="str">
        <f t="shared" si="15"/>
        <v/>
      </c>
      <c r="AD47" s="83" t="str">
        <f t="shared" si="16"/>
        <v/>
      </c>
    </row>
    <row r="48" spans="3:44" x14ac:dyDescent="0.25">
      <c r="C48" s="5">
        <f>IF(C47=-1,-1, IF(C47&lt;income_max_row, C47+1, IF(C47=income_max_row, income_total_row,                                                                                                                                                                                       IF(C47=income_total_row, "/1",  IF(C47="/1",expenses_header_row,   IF(C47&lt;expenses_max_row,C47+1,                                                                                                                                                                       IF(C47=expenses_max_row,expenses_total_row,                     IF(C47=expenses_total_row, "/2",  IF(C47="/2",Savings_header_row,   IF(C47&lt;Savings_max_row,C47+1,                                                                                                                                                                       IF(C47=Savings_max_row,Savings_total_row,                     -1)))))))))))</f>
        <v>-1</v>
      </c>
      <c r="D48" s="6">
        <f t="shared" si="0"/>
        <v>-1</v>
      </c>
      <c r="E48" s="5">
        <f>1*OR(row_id=income_header_row,row_id=expenses_header_row,row_id=Savings_header_row)</f>
        <v>0</v>
      </c>
      <c r="F48" s="6">
        <f t="shared" si="1"/>
        <v>0</v>
      </c>
      <c r="G48" s="6">
        <f>1*OR(row_id=income_total_row,row_id=expenses_total_row, row_id=Savings_total_row)</f>
        <v>0</v>
      </c>
      <c r="H48" s="7">
        <f t="shared" si="2"/>
        <v>1</v>
      </c>
      <c r="I48" s="5" t="str">
        <f>IFERROR(INDEX('Budget Planning'!C:C, header_row_id),"")</f>
        <v/>
      </c>
      <c r="J48" s="6" t="str">
        <f>IFERROR(INDEX('Budget Planning'!C:C, row_id),"")</f>
        <v/>
      </c>
      <c r="K48"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8" s="78" t="str">
        <f>IF(OR(is_header, is_empty), "",
   INDEX('Budget Planning'!$E:$FA, row_id,  MATCH(IF(selected_period="Total Year", selected_year,DATE(selected_year,selected_period,1)), 'Budget Planning'!$E$9:$FA$9,0)))</f>
        <v/>
      </c>
      <c r="M48" s="5" t="str">
        <f>IF(is_cat, IF(header_row_id=income_header_row,MATCH(income_min_row, $C:$C,0),    IF(header_row_id=expenses_header_row,MATCH(expenses_min_row, $C:$C,0),                 IF(header_row_id=Savings_header_row,MATCH(Savings_min_row, $C:$C,0),""))),"")</f>
        <v/>
      </c>
      <c r="N48" s="7" t="str">
        <f>IF(is_cat, IF(header_row_id=income_header_row,MATCH(income_max_row, $C:$C,0),    IF(header_row_id=expenses_header_row,MATCH(expenses_max_row, $C:$C,0),                 IF(header_row_id=Savings_header_row,MATCH(Savings_max_row, $C:$C,0),""))),"")</f>
        <v/>
      </c>
      <c r="O48" s="5" t="str">
        <f t="shared" si="3"/>
        <v/>
      </c>
      <c r="P48" s="6" t="str">
        <f t="shared" ca="1" si="4"/>
        <v/>
      </c>
      <c r="Q48" s="6" t="str">
        <f t="shared" si="5"/>
        <v/>
      </c>
      <c r="R48" s="6" t="str">
        <f t="shared" ca="1" si="6"/>
        <v/>
      </c>
      <c r="S48" s="5" t="str">
        <f t="shared" si="7"/>
        <v/>
      </c>
      <c r="T48" s="5" t="str">
        <f>IF(is_cat, IF(header_row_id=income_header_row,MATCH(income_min_row, $C:$C,0),    IF(header_row_id=expenses_header_row,MATCH(expenses_min_row, $C:$C,0),                 IF(header_row_id=Savings_header_row,MATCH(Savings_min_row, $C:$C,0),""))),"")</f>
        <v/>
      </c>
      <c r="U48" s="7" t="str">
        <f>IF(is_cat, IF(header_row_id=income_header_row,MATCH(income_max_row, $C:$C,0),    IF(header_row_id=expenses_header_row,MATCH(expenses_max_row, $C:$C,0),                 IF(header_row_id=Savings_header_row,MATCH(Savings_max_row, $C:$C,0),""))),"")</f>
        <v/>
      </c>
      <c r="V48" s="5" t="str">
        <f t="shared" si="8"/>
        <v/>
      </c>
      <c r="W48" s="6" t="str">
        <f t="shared" ca="1" si="9"/>
        <v/>
      </c>
      <c r="X48" s="80">
        <f t="shared" si="10"/>
        <v>-1</v>
      </c>
      <c r="Y48" s="81" t="str">
        <f t="shared" si="11"/>
        <v/>
      </c>
      <c r="Z48" s="83" t="str">
        <f t="shared" si="12"/>
        <v/>
      </c>
      <c r="AA48" s="83" t="str">
        <f t="shared" si="13"/>
        <v/>
      </c>
      <c r="AB48" s="82" t="str">
        <f t="shared" si="14"/>
        <v/>
      </c>
      <c r="AC48" s="83" t="str">
        <f t="shared" si="15"/>
        <v/>
      </c>
      <c r="AD48" s="83" t="str">
        <f t="shared" si="16"/>
        <v/>
      </c>
    </row>
    <row r="49" spans="3:30" x14ac:dyDescent="0.25">
      <c r="C49" s="5">
        <f>IF(C48=-1,-1, IF(C48&lt;income_max_row, C48+1, IF(C48=income_max_row, income_total_row,                                                                                                                                                                                       IF(C48=income_total_row, "/1",  IF(C48="/1",expenses_header_row,   IF(C48&lt;expenses_max_row,C48+1,                                                                                                                                                                       IF(C48=expenses_max_row,expenses_total_row,                     IF(C48=expenses_total_row, "/2",  IF(C48="/2",Savings_header_row,   IF(C48&lt;Savings_max_row,C48+1,                                                                                                                                                                       IF(C48=Savings_max_row,Savings_total_row,                     -1)))))))))))</f>
        <v>-1</v>
      </c>
      <c r="D49" s="6">
        <f t="shared" si="0"/>
        <v>-1</v>
      </c>
      <c r="E49" s="5" t="b">
        <v>1</v>
      </c>
      <c r="F49" s="6">
        <f t="shared" si="1"/>
        <v>0</v>
      </c>
      <c r="G49" s="6">
        <f>1*OR(row_id=income_total_row,row_id=expenses_total_row, row_id=Savings_total_row)</f>
        <v>0</v>
      </c>
      <c r="H49" s="7">
        <f t="shared" si="2"/>
        <v>1</v>
      </c>
      <c r="I49" s="5" t="str">
        <f>IFERROR(INDEX('Budget Planning'!C:C, header_row_id),"")</f>
        <v/>
      </c>
      <c r="J49" s="6" t="str">
        <f>IFERROR(INDEX('Budget Planning'!C:C, row_id),"")</f>
        <v/>
      </c>
      <c r="K49"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49" s="78" t="str">
        <f>IF(OR(is_header, is_empty), "",
   INDEX('Budget Planning'!$E:$FA, row_id,  MATCH(IF(selected_period="Total Year", selected_year,DATE(selected_year,selected_period,1)), 'Budget Planning'!$E$9:$FA$9,0)))</f>
        <v/>
      </c>
      <c r="M49" s="5" t="str">
        <f>IF(is_cat, IF(header_row_id=income_header_row,MATCH(income_min_row, $C:$C,0),    IF(header_row_id=expenses_header_row,MATCH(expenses_min_row, $C:$C,0),                 IF(header_row_id=Savings_header_row,MATCH(Savings_min_row, $C:$C,0),""))),"")</f>
        <v/>
      </c>
      <c r="N49" s="7" t="str">
        <f>IF(is_cat, IF(header_row_id=income_header_row,MATCH(income_max_row, $C:$C,0),    IF(header_row_id=expenses_header_row,MATCH(expenses_max_row, $C:$C,0),                 IF(header_row_id=Savings_header_row,MATCH(Savings_max_row, $C:$C,0),""))),"")</f>
        <v/>
      </c>
      <c r="O49" s="5" t="str">
        <f t="shared" si="3"/>
        <v/>
      </c>
      <c r="P49" s="6" t="str">
        <f t="shared" ca="1" si="4"/>
        <v/>
      </c>
      <c r="Q49" s="6" t="str">
        <f t="shared" si="5"/>
        <v/>
      </c>
      <c r="R49" s="6" t="str">
        <f t="shared" ca="1" si="6"/>
        <v/>
      </c>
      <c r="S49" s="5" t="str">
        <f t="shared" si="7"/>
        <v/>
      </c>
      <c r="T49" s="5" t="str">
        <f>IF(is_cat, IF(header_row_id=income_header_row,MATCH(income_min_row, $C:$C,0),    IF(header_row_id=expenses_header_row,MATCH(expenses_min_row, $C:$C,0),                 IF(header_row_id=Savings_header_row,MATCH(Savings_min_row, $C:$C,0),""))),"")</f>
        <v/>
      </c>
      <c r="U49" s="7" t="str">
        <f>IF(is_cat, IF(header_row_id=income_header_row,MATCH(income_max_row, $C:$C,0),    IF(header_row_id=expenses_header_row,MATCH(expenses_max_row, $C:$C,0),                 IF(header_row_id=Savings_header_row,MATCH(Savings_max_row, $C:$C,0),""))),"")</f>
        <v/>
      </c>
      <c r="V49" s="5" t="str">
        <f t="shared" si="8"/>
        <v/>
      </c>
      <c r="W49" s="6" t="str">
        <f t="shared" ca="1" si="9"/>
        <v/>
      </c>
      <c r="X49" s="80">
        <f t="shared" si="10"/>
        <v>-1</v>
      </c>
      <c r="Y49" s="81" t="str">
        <f t="shared" si="11"/>
        <v/>
      </c>
      <c r="Z49" s="83" t="str">
        <f t="shared" si="12"/>
        <v/>
      </c>
      <c r="AA49" s="83" t="str">
        <f t="shared" si="13"/>
        <v/>
      </c>
      <c r="AB49" s="82" t="str">
        <f t="shared" si="14"/>
        <v/>
      </c>
      <c r="AC49" s="83" t="str">
        <f t="shared" si="15"/>
        <v/>
      </c>
      <c r="AD49" s="83" t="str">
        <f t="shared" si="16"/>
        <v/>
      </c>
    </row>
    <row r="50" spans="3:30" x14ac:dyDescent="0.25">
      <c r="C50" s="5">
        <f>IF(C49=-1,-1, IF(C49&lt;income_max_row, C49+1, IF(C49=income_max_row, income_total_row,                                                                                                                                                                                       IF(C49=income_total_row, "/1",  IF(C49="/1",expenses_header_row,   IF(C49&lt;expenses_max_row,C49+1,                                                                                                                                                                       IF(C49=expenses_max_row,expenses_total_row,                     IF(C49=expenses_total_row, "/2",  IF(C49="/2",Savings_header_row,   IF(C49&lt;Savings_max_row,C49+1,                                                                                                                                                                       IF(C49=Savings_max_row,Savings_total_row,                     -1)))))))))))</f>
        <v>-1</v>
      </c>
      <c r="D50" s="6">
        <f t="shared" si="0"/>
        <v>-1</v>
      </c>
      <c r="E50" s="5" t="b">
        <v>1</v>
      </c>
      <c r="F50" s="6">
        <f t="shared" si="1"/>
        <v>0</v>
      </c>
      <c r="G50" s="6">
        <f>1*OR(row_id=income_total_row,row_id=expenses_total_row, row_id=Savings_total_row)</f>
        <v>0</v>
      </c>
      <c r="H50" s="7">
        <f t="shared" si="2"/>
        <v>1</v>
      </c>
      <c r="I50" s="5" t="str">
        <f>IFERROR(INDEX('Budget Planning'!C:C, header_row_id),"")</f>
        <v/>
      </c>
      <c r="J50" s="6" t="str">
        <f>IFERROR(INDEX('Budget Planning'!C:C, row_id),"")</f>
        <v/>
      </c>
      <c r="K50" s="72" t="str">
        <f>IF(OR(is_header, is_empty), "",
   IF(is_total,
      IF(selected_period = "Total Year",
         SUMPRODUCT(Tracking[Amount],
                    (Tracking[Type] = type) *
                    (YEAR(Tracking[Effective Date]) = selected_year)),
         SUMPRODUCT(Tracking[Amount],
                    (Tracking[Type] = type) *
                    (YEAR(Tracking[Effective Date]) = selected_year) *
                    (MONTH(Tracking[Effective Date]) = selected_period))
      ),
      IF(selected_period = "Total Year",
         SUMPRODUCT(Tracking[Amount],
                    (Tracking[Type] = type) *
                    (Tracking[Category] = items) *
                    (YEAR(Tracking[Effective Date]) = selected_year)),
         SUMPRODUCT(Tracking[Amount],
                    (Tracking[Type] = type) *
                    (Tracking[Category] = items) *
                    (YEAR(Tracking[Effective Date]) = selected_year) *
                    (MONTH(Tracking[Effective Date]) = selected_period))
      )
   )
)</f>
        <v/>
      </c>
      <c r="L50" s="78" t="str">
        <f>IF(OR(is_header, is_empty), "",
   INDEX('Budget Planning'!$E:$FA, row_id,  MATCH(IF(selected_period="Total Year", selected_year,DATE(selected_year,selected_period,1)), 'Budget Planning'!$E$9:$FA$9,0)))</f>
        <v/>
      </c>
      <c r="M50" s="5" t="str">
        <f>IF(is_cat, IF(header_row_id=income_header_row,MATCH(income_min_row, $C:$C,0),    IF(header_row_id=expenses_header_row,MATCH(expenses_min_row, $C:$C,0),                 IF(header_row_id=Savings_header_row,MATCH(Savings_min_row, $C:$C,0),""))),"")</f>
        <v/>
      </c>
      <c r="N50" s="7" t="str">
        <f>IF(is_cat, IF(header_row_id=income_header_row,MATCH(income_max_row, $C:$C,0),    IF(header_row_id=expenses_header_row,MATCH(expenses_max_row, $C:$C,0),                 IF(header_row_id=Savings_header_row,MATCH(Savings_max_row, $C:$C,0),""))),"")</f>
        <v/>
      </c>
      <c r="O50" s="5" t="str">
        <f t="shared" si="3"/>
        <v/>
      </c>
      <c r="P50" s="6" t="str">
        <f t="shared" ca="1" si="4"/>
        <v/>
      </c>
      <c r="Q50" s="6" t="str">
        <f t="shared" si="5"/>
        <v/>
      </c>
      <c r="R50" s="6" t="str">
        <f t="shared" ca="1" si="6"/>
        <v/>
      </c>
      <c r="S50" s="5" t="str">
        <f t="shared" si="7"/>
        <v/>
      </c>
      <c r="T50" s="5" t="str">
        <f>IF(is_cat, IF(header_row_id=income_header_row,MATCH(income_min_row, $C:$C,0),    IF(header_row_id=expenses_header_row,MATCH(expenses_min_row, $C:$C,0),                 IF(header_row_id=Savings_header_row,MATCH(Savings_min_row, $C:$C,0),""))),"")</f>
        <v/>
      </c>
      <c r="U50" s="7" t="str">
        <f>IF(is_cat, IF(header_row_id=income_header_row,MATCH(income_max_row, $C:$C,0),    IF(header_row_id=expenses_header_row,MATCH(expenses_max_row, $C:$C,0),                 IF(header_row_id=Savings_header_row,MATCH(Savings_max_row, $C:$C,0),""))),"")</f>
        <v/>
      </c>
      <c r="V50" s="5" t="str">
        <f t="shared" si="8"/>
        <v/>
      </c>
      <c r="W50" s="6" t="str">
        <f t="shared" ca="1" si="9"/>
        <v/>
      </c>
      <c r="X50" s="80">
        <f t="shared" si="10"/>
        <v>-1</v>
      </c>
      <c r="Y50" s="81" t="str">
        <f t="shared" si="11"/>
        <v/>
      </c>
      <c r="Z50" s="83" t="str">
        <f t="shared" si="12"/>
        <v/>
      </c>
      <c r="AA50" s="83" t="str">
        <f t="shared" si="13"/>
        <v/>
      </c>
      <c r="AB50" s="82" t="str">
        <f t="shared" si="14"/>
        <v/>
      </c>
      <c r="AC50" s="83" t="str">
        <f t="shared" si="15"/>
        <v/>
      </c>
      <c r="AD50" s="83" t="str">
        <f t="shared" si="16"/>
        <v/>
      </c>
    </row>
    <row r="51" spans="3:30" x14ac:dyDescent="0.25">
      <c r="E51" t="b">
        <v>1</v>
      </c>
    </row>
    <row r="52" spans="3:30" x14ac:dyDescent="0.25">
      <c r="E52" t="b">
        <v>1</v>
      </c>
    </row>
    <row r="53" spans="3:30" ht="21" x14ac:dyDescent="0.35">
      <c r="X53" s="4"/>
    </row>
  </sheetData>
  <mergeCells count="8">
    <mergeCell ref="Y11:AD11"/>
    <mergeCell ref="AF11:AR11"/>
    <mergeCell ref="AQ5:AR5"/>
    <mergeCell ref="AQ6:AR6"/>
    <mergeCell ref="AN6:AP6"/>
    <mergeCell ref="AQ9:AR9"/>
    <mergeCell ref="AQ8:AR8"/>
    <mergeCell ref="AN9:AP9"/>
  </mergeCells>
  <conditionalFormatting sqref="Y13:AD50">
    <cfRule type="expression" dxfId="25" priority="19" stopIfTrue="1">
      <formula>row_id=Savings_header_row</formula>
    </cfRule>
    <cfRule type="expression" dxfId="24" priority="20" stopIfTrue="1">
      <formula>row_id=expenses_header_row</formula>
    </cfRule>
    <cfRule type="expression" dxfId="23" priority="21" stopIfTrue="1">
      <formula>row_id=income_header_row</formula>
    </cfRule>
    <cfRule type="expression" dxfId="22" priority="22" stopIfTrue="1">
      <formula>is_total</formula>
    </cfRule>
  </conditionalFormatting>
  <conditionalFormatting sqref="AB13:AB50">
    <cfRule type="expression" dxfId="21" priority="26" stopIfTrue="1">
      <formula>AND(OR(is_cat, is_total), out_budget &gt; 0, out_percentage_completed &gt;= 1, header_row_id = income_header_row)</formula>
    </cfRule>
    <cfRule type="dataBar" priority="30">
      <dataBar>
        <cfvo type="num" val="0"/>
        <cfvo type="num" val="1"/>
        <color theme="0" tint="-0.249977111117893"/>
      </dataBar>
      <extLst>
        <ext xmlns:x14="http://schemas.microsoft.com/office/spreadsheetml/2009/9/main" uri="{B025F937-C7B1-47D3-B67F-A62EFF666E3E}">
          <x14:id>{9EBA1882-01F0-4C09-A4C8-FCB4BE2815FE}</x14:id>
        </ext>
      </extLst>
    </cfRule>
  </conditionalFormatting>
  <conditionalFormatting sqref="AB32">
    <cfRule type="expression" dxfId="20" priority="27" stopIfTrue="1">
      <formula>AND(OR(is_cat, is_total), out_budget &gt; 0, out_percentage_completed &gt;= 1, header_row_id = Savings_header_row)</formula>
    </cfRule>
  </conditionalFormatting>
  <conditionalFormatting sqref="AB4:AB1048576">
    <cfRule type="expression" dxfId="19" priority="23" stopIfTrue="1">
      <formula>AND(OR(is_cat, is_total), out_budget &gt; 0, out_percentage_completed &gt;= 1, header_row_id = Savings_header_row)</formula>
    </cfRule>
    <cfRule type="expression" dxfId="18" priority="24" stopIfTrue="1">
      <formula>AND(OR(is_cat, is_total), out_budget &gt; 0, out_percentage_completed &gt;= 1, header_row_id = expenses_header_row)</formula>
    </cfRule>
  </conditionalFormatting>
  <conditionalFormatting sqref="AH16">
    <cfRule type="expression" dxfId="17" priority="18">
      <formula>AI16&lt;&gt;""</formula>
    </cfRule>
  </conditionalFormatting>
  <conditionalFormatting sqref="AH17">
    <cfRule type="expression" dxfId="16" priority="17">
      <formula>AI17&lt;&gt;""</formula>
    </cfRule>
  </conditionalFormatting>
  <conditionalFormatting sqref="AH18">
    <cfRule type="expression" dxfId="15" priority="16">
      <formula>AI18&lt;&gt;""</formula>
    </cfRule>
  </conditionalFormatting>
  <conditionalFormatting sqref="AH19">
    <cfRule type="expression" dxfId="14" priority="15">
      <formula>AI19&lt;&gt;""</formula>
    </cfRule>
  </conditionalFormatting>
  <conditionalFormatting sqref="AH20">
    <cfRule type="expression" dxfId="13" priority="14">
      <formula>AI20&lt;&gt;""</formula>
    </cfRule>
  </conditionalFormatting>
  <conditionalFormatting sqref="AH21">
    <cfRule type="expression" dxfId="12" priority="13">
      <formula>AI21&lt;&gt;""</formula>
    </cfRule>
  </conditionalFormatting>
  <conditionalFormatting sqref="AH29">
    <cfRule type="expression" dxfId="11" priority="12">
      <formula>AI29&lt;&gt;""</formula>
    </cfRule>
  </conditionalFormatting>
  <conditionalFormatting sqref="AH30">
    <cfRule type="expression" dxfId="10" priority="11">
      <formula>AI30&lt;&gt;""</formula>
    </cfRule>
  </conditionalFormatting>
  <conditionalFormatting sqref="AH31">
    <cfRule type="expression" dxfId="9" priority="10">
      <formula>AI31&lt;&gt;""</formula>
    </cfRule>
  </conditionalFormatting>
  <conditionalFormatting sqref="AH32">
    <cfRule type="expression" dxfId="8" priority="9">
      <formula>AI32&lt;&gt;""</formula>
    </cfRule>
  </conditionalFormatting>
  <conditionalFormatting sqref="AH33">
    <cfRule type="expression" dxfId="7" priority="8">
      <formula>AI33&lt;&gt;""</formula>
    </cfRule>
  </conditionalFormatting>
  <conditionalFormatting sqref="AH34">
    <cfRule type="expression" dxfId="6" priority="7">
      <formula>AI34&lt;&gt;""</formula>
    </cfRule>
  </conditionalFormatting>
  <conditionalFormatting sqref="AO29">
    <cfRule type="expression" dxfId="5" priority="6">
      <formula>AP29&lt;&gt;""</formula>
    </cfRule>
  </conditionalFormatting>
  <conditionalFormatting sqref="AO30">
    <cfRule type="expression" dxfId="4" priority="5">
      <formula>AP30&lt;&gt;""</formula>
    </cfRule>
  </conditionalFormatting>
  <conditionalFormatting sqref="AO31">
    <cfRule type="expression" dxfId="3" priority="4">
      <formula>AP31&lt;&gt;""</formula>
    </cfRule>
  </conditionalFormatting>
  <conditionalFormatting sqref="AO32">
    <cfRule type="expression" dxfId="2" priority="3">
      <formula>AP32&lt;&gt;""</formula>
    </cfRule>
  </conditionalFormatting>
  <conditionalFormatting sqref="AO33">
    <cfRule type="expression" dxfId="1" priority="2">
      <formula>AP33&lt;&gt;""</formula>
    </cfRule>
  </conditionalFormatting>
  <conditionalFormatting sqref="AO34">
    <cfRule type="expression" dxfId="0" priority="1">
      <formula>AP34&lt;&gt;""</formula>
    </cfRule>
  </conditionalFormatting>
  <pageMargins left="0.7" right="0.7" top="0.75" bottom="0.75" header="0.3" footer="0.3"/>
  <pageSetup scale="1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1" r:id="rId4" name="Check Box 3">
              <controlPr defaultSize="0" autoFill="0" autoLine="0" autoPict="0">
                <anchor moveWithCells="1">
                  <from>
                    <xdr:col>42</xdr:col>
                    <xdr:colOff>28575</xdr:colOff>
                    <xdr:row>12</xdr:row>
                    <xdr:rowOff>57150</xdr:rowOff>
                  </from>
                  <to>
                    <xdr:col>43</xdr:col>
                    <xdr:colOff>171450</xdr:colOff>
                    <xdr:row>13</xdr:row>
                    <xdr:rowOff>47625</xdr:rowOff>
                  </to>
                </anchor>
              </controlPr>
            </control>
          </mc:Choice>
        </mc:AlternateContent>
        <mc:AlternateContent xmlns:mc="http://schemas.openxmlformats.org/markup-compatibility/2006">
          <mc:Choice Requires="x14">
            <control shapeId="2052" r:id="rId5" name="Check Box 4">
              <controlPr defaultSize="0" autoFill="0" autoLine="0" autoPict="0">
                <anchor moveWithCells="1">
                  <from>
                    <xdr:col>42</xdr:col>
                    <xdr:colOff>28575</xdr:colOff>
                    <xdr:row>13</xdr:row>
                    <xdr:rowOff>9525</xdr:rowOff>
                  </from>
                  <to>
                    <xdr:col>43</xdr:col>
                    <xdr:colOff>171450</xdr:colOff>
                    <xdr:row>14</xdr:row>
                    <xdr:rowOff>0</xdr:rowOff>
                  </to>
                </anchor>
              </controlPr>
            </control>
          </mc:Choice>
        </mc:AlternateContent>
        <mc:AlternateContent xmlns:mc="http://schemas.openxmlformats.org/markup-compatibility/2006">
          <mc:Choice Requires="x14">
            <control shapeId="2053" r:id="rId6" name="Check Box 5">
              <controlPr defaultSize="0" autoFill="0" autoLine="0" autoPict="0">
                <anchor moveWithCells="1">
                  <from>
                    <xdr:col>42</xdr:col>
                    <xdr:colOff>28575</xdr:colOff>
                    <xdr:row>13</xdr:row>
                    <xdr:rowOff>142875</xdr:rowOff>
                  </from>
                  <to>
                    <xdr:col>43</xdr:col>
                    <xdr:colOff>171450</xdr:colOff>
                    <xdr:row>14</xdr:row>
                    <xdr:rowOff>133350</xdr:rowOff>
                  </to>
                </anchor>
              </controlPr>
            </control>
          </mc:Choice>
        </mc:AlternateContent>
        <mc:AlternateContent xmlns:mc="http://schemas.openxmlformats.org/markup-compatibility/2006">
          <mc:Choice Requires="x14">
            <control shapeId="2054" r:id="rId7" name="Check Box 6">
              <controlPr defaultSize="0" autoFill="0" autoLine="0" autoPict="0">
                <anchor moveWithCells="1">
                  <from>
                    <xdr:col>41</xdr:col>
                    <xdr:colOff>247650</xdr:colOff>
                    <xdr:row>12</xdr:row>
                    <xdr:rowOff>57150</xdr:rowOff>
                  </from>
                  <to>
                    <xdr:col>41</xdr:col>
                    <xdr:colOff>971550</xdr:colOff>
                    <xdr:row>13</xdr:row>
                    <xdr:rowOff>47625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9EBA1882-01F0-4C09-A4C8-FCB4BE2815FE}">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'Drop Down Data'!$C$8:$C$18</xm:f>
          </x14:formula1>
          <xm:sqref>AQ6:AR6</xm:sqref>
        </x14:dataValidation>
        <x14:dataValidation type="list" allowBlank="1" showInputMessage="1" showErrorMessage="1">
          <x14:formula1>
            <xm:f>'Drop 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2"/>
  <sheetViews>
    <sheetView showGridLines="0" topLeftCell="A25" zoomScale="80" zoomScaleNormal="80" workbookViewId="0">
      <selection activeCell="H28" sqref="H28"/>
    </sheetView>
  </sheetViews>
  <sheetFormatPr defaultRowHeight="15" x14ac:dyDescent="0.25"/>
  <cols>
    <col min="1" max="1" width="3.28515625" customWidth="1"/>
    <col min="2" max="2" width="3.85546875" customWidth="1"/>
    <col min="3" max="3" width="2.28515625" customWidth="1"/>
    <col min="4" max="4" width="30" customWidth="1"/>
    <col min="5" max="5" width="28" customWidth="1"/>
    <col min="6" max="6" width="13.42578125" customWidth="1"/>
    <col min="7" max="7" width="9.85546875" customWidth="1"/>
    <col min="8" max="8" width="27.7109375" customWidth="1"/>
    <col min="9" max="9" width="23.7109375" customWidth="1"/>
    <col min="10" max="10" width="15.42578125" customWidth="1"/>
    <col min="11" max="11" width="9.7109375" customWidth="1"/>
    <col min="12" max="12" width="15.140625" customWidth="1"/>
    <col min="13" max="13" width="19.7109375" customWidth="1"/>
    <col min="14" max="14" width="10.5703125" customWidth="1"/>
    <col min="16" max="16" width="19.7109375" customWidth="1"/>
    <col min="17" max="17" width="10.5703125" customWidth="1"/>
  </cols>
  <sheetData>
    <row r="1" spans="1:27" ht="7.5" customHeight="1" x14ac:dyDescent="0.25">
      <c r="A1" s="2"/>
      <c r="B1" s="2"/>
      <c r="C1" s="2"/>
      <c r="D1" s="2"/>
      <c r="E1" s="2"/>
      <c r="F1" s="2"/>
      <c r="G1" s="2"/>
      <c r="H1" s="2"/>
      <c r="I1" s="2"/>
      <c r="J1" s="2"/>
      <c r="K1" s="2"/>
      <c r="L1" s="2"/>
      <c r="M1" s="2"/>
      <c r="N1" s="2"/>
      <c r="O1" s="2"/>
      <c r="P1" s="2"/>
      <c r="Q1" s="2"/>
      <c r="R1" s="2"/>
      <c r="S1" s="2"/>
      <c r="T1" s="2"/>
      <c r="U1" s="2"/>
      <c r="V1" s="2"/>
      <c r="W1" s="2"/>
      <c r="X1" s="2"/>
      <c r="Y1" s="2"/>
      <c r="Z1" s="2"/>
      <c r="AA1" s="2"/>
    </row>
    <row r="2" spans="1:27" ht="21" x14ac:dyDescent="0.35">
      <c r="A2" s="2"/>
      <c r="B2" s="2"/>
      <c r="C2" s="4" t="s">
        <v>3</v>
      </c>
      <c r="D2" s="2"/>
      <c r="E2" s="2"/>
      <c r="F2" s="2"/>
      <c r="G2" s="2"/>
      <c r="H2" s="2"/>
      <c r="I2" s="2"/>
      <c r="J2" s="2"/>
      <c r="K2" s="2"/>
      <c r="L2" s="2"/>
      <c r="M2" s="2"/>
      <c r="N2" s="2"/>
      <c r="O2" s="2"/>
      <c r="P2" s="2"/>
      <c r="Q2" s="2"/>
      <c r="R2" s="2"/>
      <c r="S2" s="2"/>
      <c r="T2" s="2"/>
      <c r="U2" s="2"/>
      <c r="V2" s="2"/>
      <c r="W2" s="2"/>
      <c r="X2" s="2"/>
      <c r="Y2" s="2"/>
      <c r="Z2" s="2"/>
      <c r="AA2" s="2"/>
    </row>
    <row r="3" spans="1:27" ht="9" customHeight="1" x14ac:dyDescent="0.25">
      <c r="A3" s="1"/>
      <c r="B3" s="1"/>
      <c r="C3" s="1"/>
      <c r="D3" s="1"/>
      <c r="E3" s="1"/>
      <c r="F3" s="1"/>
      <c r="G3" s="1"/>
      <c r="H3" s="56">
        <f ca="1">Calculations!E8</f>
        <v>45695</v>
      </c>
      <c r="I3" s="1"/>
      <c r="J3" s="1"/>
      <c r="K3" s="1"/>
      <c r="L3" s="1"/>
      <c r="M3" s="1"/>
      <c r="N3" s="1"/>
      <c r="O3" s="1"/>
      <c r="P3" s="1"/>
      <c r="Q3" s="1"/>
      <c r="R3" s="1"/>
      <c r="S3" s="1"/>
      <c r="T3" s="1"/>
      <c r="U3" s="1"/>
      <c r="V3" s="1"/>
      <c r="W3" s="1"/>
      <c r="X3" s="1"/>
      <c r="Y3" s="1"/>
      <c r="Z3" s="1"/>
      <c r="AA3" s="1"/>
    </row>
    <row r="6" spans="1:27" x14ac:dyDescent="0.25">
      <c r="C6" s="52"/>
      <c r="D6" s="52" t="s">
        <v>51</v>
      </c>
      <c r="E6" s="52"/>
      <c r="F6" s="52"/>
    </row>
    <row r="8" spans="1:27" x14ac:dyDescent="0.25">
      <c r="D8" s="53" t="s">
        <v>52</v>
      </c>
      <c r="E8" s="54">
        <f ca="1">current_date</f>
        <v>45695</v>
      </c>
    </row>
    <row r="9" spans="1:27" x14ac:dyDescent="0.25">
      <c r="D9" s="53" t="s">
        <v>53</v>
      </c>
      <c r="E9" s="54">
        <f>MAX(Tracking[Date])</f>
        <v>44635</v>
      </c>
    </row>
    <row r="10" spans="1:27" x14ac:dyDescent="0.25">
      <c r="D10" s="53" t="s">
        <v>54</v>
      </c>
      <c r="E10" t="str">
        <f ca="1">IF(E9=0, "", "("  &amp; _xlfn.DAYS(E8,E9) &amp; " days ago)")</f>
        <v>(1060 days ago)</v>
      </c>
    </row>
    <row r="11" spans="1:27" x14ac:dyDescent="0.25">
      <c r="D11" s="53" t="s">
        <v>55</v>
      </c>
      <c r="E11">
        <f>COUNT(Tracking[Date])</f>
        <v>59</v>
      </c>
    </row>
    <row r="12" spans="1:27" x14ac:dyDescent="0.25">
      <c r="D12" s="53" t="s">
        <v>56</v>
      </c>
      <c r="E12" t="str">
        <f ca="1">"(" &amp; SUMPRODUCT(--(YEAR(Tracking[Date])=YEAR(current_date)))&amp; " this year)"</f>
        <v>(0 this year)</v>
      </c>
    </row>
    <row r="13" spans="1:27" x14ac:dyDescent="0.25">
      <c r="D13" s="53" t="s">
        <v>57</v>
      </c>
      <c r="E13" s="55">
        <f xml:space="preserve"> _xlfn.IFNA(INDEX(Tracking[Balance], MATCH(Calculations!E9, Tracking[Date],0)), "-")</f>
        <v>2620</v>
      </c>
    </row>
    <row r="14" spans="1:27" x14ac:dyDescent="0.25">
      <c r="D14" s="53" t="s">
        <v>58</v>
      </c>
      <c r="E14" t="str">
        <f>IF(E13&gt;=0, "of tracked income left to be allocated", "allocated not covered by income")</f>
        <v>of tracked income left to be allocated</v>
      </c>
    </row>
    <row r="17" spans="3:17" x14ac:dyDescent="0.25">
      <c r="C17" s="52"/>
      <c r="D17" s="52" t="s">
        <v>68</v>
      </c>
      <c r="E17" s="52"/>
      <c r="F17" s="52"/>
    </row>
    <row r="19" spans="3:17" x14ac:dyDescent="0.25">
      <c r="D19" s="53" t="s">
        <v>69</v>
      </c>
      <c r="E19">
        <f>IF('Budget Dashboard'!AQ6="Current Year", YEAR(current_date), 'Budget Dashboard'!AQ6)</f>
        <v>2022</v>
      </c>
    </row>
    <row r="20" spans="3:17" x14ac:dyDescent="0.25">
      <c r="D20" s="63" t="s">
        <v>70</v>
      </c>
      <c r="E20" s="122">
        <f>IF('Budget Dashboard'!AQ9="Total Year","Total Year",  IF('Budget Dashboard'!AQ9="Current Month", MONTH(current_date), MONTH('Budget Dashboard'!AQ9)))</f>
        <v>2</v>
      </c>
    </row>
    <row r="21" spans="3:17" x14ac:dyDescent="0.25">
      <c r="D21" s="53" t="s">
        <v>71</v>
      </c>
      <c r="E21" s="64" t="str">
        <f>IF(selected_period="Total Year", "Total Year", TEXT(DATE(selected_year,selected_period,1),"mmmm"))</f>
        <v>February</v>
      </c>
    </row>
    <row r="22" spans="3:17" x14ac:dyDescent="0.25">
      <c r="D22" s="53" t="s">
        <v>110</v>
      </c>
      <c r="E22">
        <f>IF(selected_period="Total Year", DATE(selected_year,12,31) - DATE(selected_year-1,12,31), DAY(EOMONTH(DATE(selected_year,selected_period,1),0)))</f>
        <v>28</v>
      </c>
    </row>
    <row r="23" spans="3:17" x14ac:dyDescent="0.25">
      <c r="D23" s="53" t="s">
        <v>111</v>
      </c>
      <c r="E23">
        <f ca="1">IF(selected_year=YEAR(current_date),IF(selected_period="Total Year", current_date-DATE(selected_year-1,12,31), IF(selected_period=MONTH(current_date), DAY(current_date), IF(selected_period&lt;MONTH(current_date),E22,0))), IF(selected_year&lt;YEAR(current_date),E22,0))</f>
        <v>28</v>
      </c>
    </row>
    <row r="24" spans="3:17" x14ac:dyDescent="0.25">
      <c r="D24" s="53" t="s">
        <v>112</v>
      </c>
      <c r="E24" s="123">
        <f ca="1">E23/E22</f>
        <v>1</v>
      </c>
    </row>
    <row r="25" spans="3:17" x14ac:dyDescent="0.25">
      <c r="D25" s="53" t="s">
        <v>113</v>
      </c>
      <c r="E25">
        <f ca="1">F41-(J41+N41)</f>
        <v>0</v>
      </c>
    </row>
    <row r="26" spans="3:17" x14ac:dyDescent="0.25">
      <c r="D26" s="53" t="s">
        <v>58</v>
      </c>
      <c r="E26" t="str">
        <f ca="1">IF(E25&gt;=0, "of tracked income left to be allocated", "allocated not covered by income")</f>
        <v>of tracked income left to be allocated</v>
      </c>
    </row>
    <row r="27" spans="3:17" x14ac:dyDescent="0.25">
      <c r="D27" s="53" t="s">
        <v>114</v>
      </c>
      <c r="E27" s="126">
        <f ca="1">IFERROR(IF(Savings_rate_calculation_type="% allocated to Savings",N41/F41,(F41-J41)/F41),"-")</f>
        <v>0.25679012345679014</v>
      </c>
    </row>
    <row r="32" spans="3:17" x14ac:dyDescent="0.25">
      <c r="C32" s="87"/>
      <c r="D32" s="88" t="s">
        <v>90</v>
      </c>
      <c r="E32" s="87"/>
      <c r="F32" s="87"/>
      <c r="G32" s="87"/>
      <c r="H32" s="87"/>
      <c r="I32" s="87"/>
      <c r="J32" s="87"/>
      <c r="K32" s="87"/>
      <c r="L32" s="87"/>
      <c r="M32" s="87"/>
      <c r="N32" s="87"/>
      <c r="P32" s="87"/>
      <c r="Q32" s="87"/>
    </row>
    <row r="34" spans="3:17" x14ac:dyDescent="0.25">
      <c r="D34" s="89" t="s">
        <v>11</v>
      </c>
      <c r="E34" s="89" t="s">
        <v>40</v>
      </c>
      <c r="F34" s="89" t="s">
        <v>42</v>
      </c>
      <c r="H34" s="89" t="s">
        <v>17</v>
      </c>
      <c r="I34" s="89" t="s">
        <v>40</v>
      </c>
      <c r="J34" s="89" t="s">
        <v>42</v>
      </c>
      <c r="L34" s="89" t="s">
        <v>22</v>
      </c>
      <c r="M34" s="89" t="s">
        <v>40</v>
      </c>
      <c r="N34" s="89" t="s">
        <v>42</v>
      </c>
      <c r="P34" s="89" t="s">
        <v>40</v>
      </c>
      <c r="Q34" s="89" t="s">
        <v>42</v>
      </c>
    </row>
    <row r="35" spans="3:17" x14ac:dyDescent="0.25">
      <c r="D35" s="90">
        <v>1</v>
      </c>
      <c r="E35" s="90" t="str">
        <f ca="1">IF(F35="","", INDEX('Budget Dashboard'!$J:$J,MATCH(income_header_row + Calculations!D35, 'Budget Dashboard'!$X:$X,0)))</f>
        <v>Employement</v>
      </c>
      <c r="F35" s="91">
        <f ca="1">IF(D35&gt;COUNTA(income[]), "",       IF(INDEX('Budget Dashboard'!$K:$K,MATCH(income_header_row + Calculations!D35, 'Budget Dashboard'!$X:$X,0))=0,"",                                                INDEX('Budget Dashboard'!$K:$K,MATCH(income_header_row + Calculations!D35, 'Budget Dashboard'!$X:$X,0))))</f>
        <v>3500</v>
      </c>
      <c r="H35" s="90">
        <v>1</v>
      </c>
      <c r="I35" s="90" t="str">
        <f ca="1">IF(J35="","", INDEX('Budget Dashboard'!$J:$J,MATCH(expenses_header_row + Calculations!H35, 'Budget Dashboard'!$X:$X,0)))</f>
        <v>Housing</v>
      </c>
      <c r="J35" s="91">
        <f ca="1">IF(H35&gt;COUNTA(Expenses[]), "",       IF(INDEX('Budget Dashboard'!$K:$K,MATCH(expenses_header_row + Calculations!H35, 'Budget Dashboard'!$X:$X,0))=0,"",                                                INDEX('Budget Dashboard'!$K:$K,MATCH(expenses_header_row + Calculations!H35, 'Budget Dashboard'!$X:$X,0))))</f>
        <v>1200</v>
      </c>
      <c r="L35" s="90">
        <v>1</v>
      </c>
      <c r="M35" s="90" t="str">
        <f ca="1">IF(N35="","", INDEX('Budget Dashboard'!$J:$J,MATCH(Savings_header_row + Calculations!L35, 'Budget Dashboard'!$X:$X,0)))</f>
        <v>Stock Portfolio</v>
      </c>
      <c r="N35" s="91">
        <f ca="1">IF(L35&gt;COUNTA(Savings[]), "",       IF(INDEX('Budget Dashboard'!$K:$K,MATCH(Savings_header_row + Calculations!L35, 'Budget Dashboard'!$X:$X,0))=0,"",                                                INDEX('Budget Dashboard'!$K:$K,MATCH(Savings_header_row + Calculations!L35, 'Budget Dashboard'!$X:$X,0))))</f>
        <v>500</v>
      </c>
      <c r="P35" s="90" t="str">
        <f ca="1">IF(Q35="","", INDEX('Budget Dashboard'!$J:$J,MATCH(Savings_header_row + Calculations!O35, 'Budget Dashboard'!$X:$X,0)))</f>
        <v/>
      </c>
      <c r="Q35" s="91" t="str">
        <f ca="1">IF(O35&gt;COUNTA(Savings[]), "",       IF(INDEX('Budget Dashboard'!$K:$K,MATCH(Savings_header_row + Calculations!O35, 'Budget Dashboard'!$X:$X,0))=0,"",                                                INDEX('Budget Dashboard'!$K:$K,MATCH(Savings_header_row + Calculations!O35, 'Budget Dashboard'!$X:$X,0))))</f>
        <v/>
      </c>
    </row>
    <row r="36" spans="3:17" x14ac:dyDescent="0.25">
      <c r="D36" s="90">
        <v>2</v>
      </c>
      <c r="E36" s="90" t="str">
        <f ca="1">IF(F36="","", INDEX('Budget Dashboard'!$J:$J,MATCH(income_header_row + Calculations!D36, 'Budget Dashboard'!$X:$X,0)))</f>
        <v>Side hustle</v>
      </c>
      <c r="F36" s="91">
        <f ca="1">IF(D36&gt;COUNTA(income[]), "",       IF(INDEX('Budget Dashboard'!$K:$K,MATCH(income_header_row + Calculations!D36, 'Budget Dashboard'!$X:$X,0))=0,"",                                                INDEX('Budget Dashboard'!$K:$K,MATCH(income_header_row + Calculations!D36, 'Budget Dashboard'!$X:$X,0))))</f>
        <v>500</v>
      </c>
      <c r="H36" s="90">
        <v>2</v>
      </c>
      <c r="I36" s="90" t="str">
        <f ca="1">IF(J36="","", INDEX('Budget Dashboard'!$J:$J,MATCH(expenses_header_row + Calculations!H36, 'Budget Dashboard'!$X:$X,0)))</f>
        <v>Groceries</v>
      </c>
      <c r="J36" s="91">
        <f ca="1">IF(H36&gt;COUNTA(Expenses[]), "",       IF(INDEX('Budget Dashboard'!$K:$K,MATCH(expenses_header_row + Calculations!H36, 'Budget Dashboard'!$X:$X,0))=0,"",                                                INDEX('Budget Dashboard'!$K:$K,MATCH(expenses_header_row + Calculations!H36, 'Budget Dashboard'!$X:$X,0))))</f>
        <v>400</v>
      </c>
      <c r="L36" s="90">
        <v>2</v>
      </c>
      <c r="M36" s="90" t="str">
        <f ca="1">IF(N36="","", INDEX('Budget Dashboard'!$J:$J,MATCH(Savings_header_row + Calculations!L36, 'Budget Dashboard'!$X:$X,0)))</f>
        <v>Retirement Fund</v>
      </c>
      <c r="N36" s="91">
        <f ca="1">IF(L36&gt;COUNTA(Savings[]), "",       IF(INDEX('Budget Dashboard'!$K:$K,MATCH(Savings_header_row + Calculations!L36, 'Budget Dashboard'!$X:$X,0))=0,"",                                                INDEX('Budget Dashboard'!$K:$K,MATCH(Savings_header_row + Calculations!L36, 'Budget Dashboard'!$X:$X,0))))</f>
        <v>400</v>
      </c>
      <c r="P36" s="90" t="str">
        <f ca="1">IF(Q36="","", INDEX('Budget Dashboard'!$J:$J,MATCH(Savings_header_row + Calculations!O36, 'Budget Dashboard'!$X:$X,0)))</f>
        <v/>
      </c>
      <c r="Q36" s="91" t="str">
        <f ca="1">IF(O36&gt;COUNTA(Savings[]), "",       IF(INDEX('Budget Dashboard'!$K:$K,MATCH(Savings_header_row + Calculations!O36, 'Budget Dashboard'!$X:$X,0))=0,"",                                                INDEX('Budget Dashboard'!$K:$K,MATCH(Savings_header_row + Calculations!O36, 'Budget Dashboard'!$X:$X,0))))</f>
        <v/>
      </c>
    </row>
    <row r="37" spans="3:17" x14ac:dyDescent="0.25">
      <c r="D37" s="90">
        <v>3</v>
      </c>
      <c r="E37" s="90" t="str">
        <f ca="1">IF(F37="","", INDEX('Budget Dashboard'!$J:$J,MATCH(income_header_row + Calculations!D37, 'Budget Dashboard'!$X:$X,0)))</f>
        <v>Dividends</v>
      </c>
      <c r="F37" s="91">
        <f ca="1">IF(D37&gt;COUNTA(income[]), "",       IF(INDEX('Budget Dashboard'!$K:$K,MATCH(income_header_row + Calculations!D37, 'Budget Dashboard'!$X:$X,0))=0,"",                                                INDEX('Budget Dashboard'!$K:$K,MATCH(income_header_row + Calculations!D37, 'Budget Dashboard'!$X:$X,0))))</f>
        <v>50</v>
      </c>
      <c r="H37" s="90">
        <v>3</v>
      </c>
      <c r="I37" s="90" t="str">
        <f ca="1">IF(J37="","", INDEX('Budget Dashboard'!$J:$J,MATCH(expenses_header_row + Calculations!H37, 'Budget Dashboard'!$X:$X,0)))</f>
        <v>Transportation</v>
      </c>
      <c r="J37" s="91">
        <f ca="1">IF(H37&gt;COUNTA(Expenses[]), "",       IF(INDEX('Budget Dashboard'!$K:$K,MATCH(expenses_header_row + Calculations!H37, 'Budget Dashboard'!$X:$X,0))=0,"",                                                INDEX('Budget Dashboard'!$K:$K,MATCH(expenses_header_row + Calculations!H37, 'Budget Dashboard'!$X:$X,0))))</f>
        <v>380</v>
      </c>
      <c r="L37" s="90">
        <v>3</v>
      </c>
      <c r="M37" s="90" t="str">
        <f ca="1">IF(N37="","", INDEX('Budget Dashboard'!$J:$J,MATCH(Savings_header_row + Calculations!L37, 'Budget Dashboard'!$X:$X,0)))</f>
        <v>Emergency Fund</v>
      </c>
      <c r="N37" s="91">
        <f ca="1">IF(L37&gt;COUNTA(Savings[]), "",       IF(INDEX('Budget Dashboard'!$K:$K,MATCH(Savings_header_row + Calculations!L37, 'Budget Dashboard'!$X:$X,0))=0,"",                                                INDEX('Budget Dashboard'!$K:$K,MATCH(Savings_header_row + Calculations!L37, 'Budget Dashboard'!$X:$X,0))))</f>
        <v>140</v>
      </c>
      <c r="P37" s="90" t="str">
        <f ca="1">IF(Q37="","", INDEX('Budget Dashboard'!$J:$J,MATCH(Savings_header_row + Calculations!O37, 'Budget Dashboard'!$X:$X,0)))</f>
        <v/>
      </c>
      <c r="Q37" s="91" t="str">
        <f ca="1">IF(O37&gt;COUNTA(Savings[]), "",       IF(INDEX('Budget Dashboard'!$K:$K,MATCH(Savings_header_row + Calculations!O37, 'Budget Dashboard'!$X:$X,0))=0,"",                                                INDEX('Budget Dashboard'!$K:$K,MATCH(Savings_header_row + Calculations!O37, 'Budget Dashboard'!$X:$X,0))))</f>
        <v/>
      </c>
    </row>
    <row r="38" spans="3:17" x14ac:dyDescent="0.25">
      <c r="D38" s="90">
        <v>4</v>
      </c>
      <c r="E38" s="90" t="str">
        <f>IF(F38="","", INDEX('Budget Dashboard'!$J:$J,MATCH(income_header_row + Calculations!D38, 'Budget Dashboard'!$X:$X,0)))</f>
        <v/>
      </c>
      <c r="F38" s="91" t="str">
        <f>IF(D38&gt;COUNTA(income[]), "",       IF(INDEX('Budget Dashboard'!$K:$K,MATCH(income_header_row + Calculations!D38, 'Budget Dashboard'!$X:$X,0))=0,"",                                                INDEX('Budget Dashboard'!$K:$K,MATCH(income_header_row + Calculations!D38, 'Budget Dashboard'!$X:$X,0))))</f>
        <v/>
      </c>
      <c r="H38" s="90">
        <v>4</v>
      </c>
      <c r="I38" s="90" t="str">
        <f ca="1">IF(J38="","", INDEX('Budget Dashboard'!$J:$J,MATCH(expenses_header_row + Calculations!H38, 'Budget Dashboard'!$X:$X,0)))</f>
        <v>Utilities</v>
      </c>
      <c r="J38" s="91">
        <f ca="1">IF(H38&gt;COUNTA(Expenses[]), "",       IF(INDEX('Budget Dashboard'!$K:$K,MATCH(expenses_header_row + Calculations!H38, 'Budget Dashboard'!$X:$X,0))=0,"",                                                INDEX('Budget Dashboard'!$K:$K,MATCH(expenses_header_row + Calculations!H38, 'Budget Dashboard'!$X:$X,0))))</f>
        <v>300</v>
      </c>
      <c r="L38" s="90">
        <v>4</v>
      </c>
      <c r="M38" s="90" t="str">
        <f ca="1">IF(N38="","", INDEX('Budget Dashboard'!$J:$J,MATCH(Savings_header_row + Calculations!L38, 'Budget Dashboard'!$X:$X,0)))</f>
        <v/>
      </c>
      <c r="N38" s="91" t="str">
        <f ca="1">IF(L38&gt;COUNTA(Savings[]), "",       IF(INDEX('Budget Dashboard'!$K:$K,MATCH(Savings_header_row + Calculations!L38, 'Budget Dashboard'!$X:$X,0))=0,"",                                                INDEX('Budget Dashboard'!$K:$K,MATCH(Savings_header_row + Calculations!L38, 'Budget Dashboard'!$X:$X,0))))</f>
        <v/>
      </c>
      <c r="P38" s="90" t="str">
        <f ca="1">IF(Q38="","", INDEX('Budget Dashboard'!$J:$J,MATCH(Savings_header_row + Calculations!O38, 'Budget Dashboard'!$X:$X,0)))</f>
        <v/>
      </c>
      <c r="Q38" s="91" t="str">
        <f ca="1">IF(O38&gt;COUNTA(Savings[]), "",       IF(INDEX('Budget Dashboard'!$K:$K,MATCH(Savings_header_row + Calculations!O38, 'Budget Dashboard'!$X:$X,0))=0,"",                                                INDEX('Budget Dashboard'!$K:$K,MATCH(Savings_header_row + Calculations!O38, 'Budget Dashboard'!$X:$X,0))))</f>
        <v/>
      </c>
    </row>
    <row r="39" spans="3:17" x14ac:dyDescent="0.25">
      <c r="D39" s="90">
        <v>5</v>
      </c>
      <c r="E39" s="90" t="str">
        <f>IF(F39="","", INDEX('Budget Dashboard'!$J:$J,MATCH(income_header_row + Calculations!D39, 'Budget Dashboard'!$X:$X,0)))</f>
        <v/>
      </c>
      <c r="F39" s="91" t="str">
        <f>IF(D39&gt;COUNTA(income[]), "",       IF(INDEX('Budget Dashboard'!$K:$K,MATCH(income_header_row + Calculations!D39, 'Budget Dashboard'!$X:$X,0))=0,"",                                                INDEX('Budget Dashboard'!$K:$K,MATCH(income_header_row + Calculations!D39, 'Budget Dashboard'!$X:$X,0))))</f>
        <v/>
      </c>
      <c r="H39" s="90">
        <v>5</v>
      </c>
      <c r="I39" s="90" t="str">
        <f ca="1">IF(J39="","", INDEX('Budget Dashboard'!$J:$J,MATCH(expenses_header_row + Calculations!H39, 'Budget Dashboard'!$X:$X,0)))</f>
        <v>Body Care &amp; Medicine</v>
      </c>
      <c r="J39" s="91">
        <f ca="1">IF(H39&gt;COUNTA(Expenses[]), "",       IF(INDEX('Budget Dashboard'!$K:$K,MATCH(expenses_header_row + Calculations!H39, 'Budget Dashboard'!$X:$X,0))=0,"",                                                INDEX('Budget Dashboard'!$K:$K,MATCH(expenses_header_row + Calculations!H39, 'Budget Dashboard'!$X:$X,0))))</f>
        <v>270</v>
      </c>
      <c r="L39" s="90">
        <v>5</v>
      </c>
      <c r="M39" s="90" t="e">
        <f ca="1">IF(N39="","", INDEX('Budget Dashboard'!$J:$J,MATCH(Savings_header_row + Calculations!L39, 'Budget Dashboard'!$X:$X,0)))</f>
        <v>#N/A</v>
      </c>
      <c r="N39" s="91" t="e">
        <f ca="1">IF(L39&gt;COUNTA(Savings[]), "",       IF(INDEX('Budget Dashboard'!$K:$K,MATCH(Savings_header_row + Calculations!L39, 'Budget Dashboard'!$X:$X,0))=0,"",                                                INDEX('Budget Dashboard'!$K:$K,MATCH(Savings_header_row + Calculations!L39, 'Budget Dashboard'!$X:$X,0))))</f>
        <v>#N/A</v>
      </c>
      <c r="P39" s="90" t="str">
        <f ca="1">IF(Q39="","", INDEX('Budget Dashboard'!$J:$J,MATCH(Savings_header_row + Calculations!O39, 'Budget Dashboard'!$X:$X,0)))</f>
        <v/>
      </c>
      <c r="Q39" s="91" t="str">
        <f ca="1">IF(O39&gt;COUNTA(Savings[]), "",       IF(INDEX('Budget Dashboard'!$K:$K,MATCH(Savings_header_row + Calculations!O39, 'Budget Dashboard'!$X:$X,0))=0,"",                                                INDEX('Budget Dashboard'!$K:$K,MATCH(Savings_header_row + Calculations!O39, 'Budget Dashboard'!$X:$X,0))))</f>
        <v/>
      </c>
    </row>
    <row r="40" spans="3:17" ht="15.75" thickBot="1" x14ac:dyDescent="0.3">
      <c r="D40" s="92">
        <v>6</v>
      </c>
      <c r="E40" s="92" t="str">
        <f ca="1">IF(F40="","", "Other")</f>
        <v/>
      </c>
      <c r="F40" s="91" t="str">
        <f ca="1">IF(F41-SUM(F35:F39)=0, "", F41-SUM(F35:F39))</f>
        <v/>
      </c>
      <c r="H40" s="92">
        <v>6</v>
      </c>
      <c r="I40" s="92" t="str">
        <f ca="1">IF(J40="","", "Other")</f>
        <v>Other</v>
      </c>
      <c r="J40" s="91">
        <f ca="1">IF(J41-SUM(J35:J39)=0, "", J41-SUM(J35:J39))</f>
        <v>460</v>
      </c>
      <c r="L40" s="92">
        <v>6</v>
      </c>
      <c r="M40" s="92" t="e">
        <f ca="1">IF(N40="","", "Other")</f>
        <v>#N/A</v>
      </c>
      <c r="N40" s="91" t="e">
        <f ca="1">IF(N41-SUM(N35:N39)=0, "", N41-SUM(N35:N39))</f>
        <v>#N/A</v>
      </c>
      <c r="P40" s="92" t="str">
        <f ca="1">IF(Q40="","", "Other")</f>
        <v>Other</v>
      </c>
      <c r="Q40" s="91">
        <f ca="1">IF(Q41-SUM(Q35:Q39)=0, "", Q41-SUM(Q35:Q39))</f>
        <v>1040</v>
      </c>
    </row>
    <row r="41" spans="3:17" ht="15.75" thickTop="1" x14ac:dyDescent="0.25">
      <c r="D41" s="93"/>
      <c r="E41" s="94" t="s">
        <v>13</v>
      </c>
      <c r="F41" s="94">
        <f ca="1" xml:space="preserve"> INDEX('Budget Dashboard'!$K:$K,MATCH(income_total_row, 'Budget Dashboard'!$X:$X,0))</f>
        <v>4050</v>
      </c>
      <c r="H41" s="93"/>
      <c r="I41" s="94" t="s">
        <v>13</v>
      </c>
      <c r="J41" s="94">
        <f ca="1" xml:space="preserve"> INDEX('Budget Dashboard'!$K:$K,MATCH(expenses_total_row, 'Budget Dashboard'!$X:$X,0))</f>
        <v>3010</v>
      </c>
      <c r="L41" s="93"/>
      <c r="M41" s="94" t="s">
        <v>13</v>
      </c>
      <c r="N41" s="94">
        <f ca="1" xml:space="preserve"> INDEX('Budget Dashboard'!$K:$K,MATCH(Savings_total_row, 'Budget Dashboard'!$X:$X,0))</f>
        <v>1040</v>
      </c>
      <c r="P41" s="94" t="s">
        <v>13</v>
      </c>
      <c r="Q41" s="94">
        <f ca="1" xml:space="preserve"> INDEX('Budget Dashboard'!$K:$K,MATCH(Savings_total_row, 'Budget Dashboard'!$X:$X,0))</f>
        <v>1040</v>
      </c>
    </row>
    <row r="47" spans="3:17" x14ac:dyDescent="0.25">
      <c r="C47" s="87"/>
      <c r="D47" s="88" t="s">
        <v>91</v>
      </c>
      <c r="E47" s="87"/>
      <c r="F47" s="87"/>
      <c r="G47" s="87"/>
      <c r="H47" s="87"/>
      <c r="I47" s="87"/>
      <c r="J47" s="87"/>
      <c r="K47" s="87"/>
      <c r="L47" s="87"/>
      <c r="M47" s="87"/>
      <c r="N47" s="87"/>
      <c r="P47" s="87"/>
      <c r="Q47" s="87"/>
    </row>
    <row r="49" spans="4:28" x14ac:dyDescent="0.25">
      <c r="D49" s="53" t="s">
        <v>106</v>
      </c>
      <c r="E49" s="100" t="b">
        <v>1</v>
      </c>
    </row>
    <row r="50" spans="4:28" x14ac:dyDescent="0.25">
      <c r="D50" s="53" t="s">
        <v>107</v>
      </c>
      <c r="E50" s="100" t="b">
        <v>1</v>
      </c>
    </row>
    <row r="51" spans="4:28" x14ac:dyDescent="0.25">
      <c r="D51" s="53" t="s">
        <v>108</v>
      </c>
      <c r="E51" s="100" t="b">
        <v>1</v>
      </c>
    </row>
    <row r="52" spans="4:28" x14ac:dyDescent="0.25">
      <c r="D52" s="53" t="s">
        <v>109</v>
      </c>
      <c r="E52" s="100" t="b">
        <v>1</v>
      </c>
    </row>
    <row r="53" spans="4:28" x14ac:dyDescent="0.25">
      <c r="M53" s="119" t="s">
        <v>98</v>
      </c>
      <c r="N53" s="119"/>
      <c r="O53" s="119"/>
      <c r="P53" s="120" t="s">
        <v>102</v>
      </c>
      <c r="Q53" s="120"/>
      <c r="R53" s="120"/>
    </row>
    <row r="54" spans="4:28" s="99" customFormat="1" x14ac:dyDescent="0.25">
      <c r="D54" s="89" t="s">
        <v>92</v>
      </c>
      <c r="E54" s="101" t="s">
        <v>39</v>
      </c>
      <c r="F54" s="101" t="s">
        <v>93</v>
      </c>
      <c r="G54" s="101" t="s">
        <v>94</v>
      </c>
      <c r="H54" s="101" t="s">
        <v>95</v>
      </c>
      <c r="I54" s="89" t="s">
        <v>96</v>
      </c>
      <c r="J54" s="89" t="s">
        <v>105</v>
      </c>
      <c r="K54" s="89" t="s">
        <v>104</v>
      </c>
      <c r="L54" s="89" t="s">
        <v>97</v>
      </c>
      <c r="M54" s="89" t="s">
        <v>99</v>
      </c>
      <c r="N54" s="89" t="s">
        <v>100</v>
      </c>
      <c r="O54" s="89" t="s">
        <v>101</v>
      </c>
      <c r="P54" s="89" t="s">
        <v>99</v>
      </c>
      <c r="Q54" s="89" t="s">
        <v>100</v>
      </c>
      <c r="R54" s="89" t="s">
        <v>101</v>
      </c>
      <c r="AB54" s="99" t="s">
        <v>103</v>
      </c>
    </row>
    <row r="55" spans="4:28" x14ac:dyDescent="0.25">
      <c r="D55" s="117">
        <f>DATE(selected_year,1,1)</f>
        <v>44562</v>
      </c>
      <c r="E55" s="102" t="s">
        <v>11</v>
      </c>
      <c r="F55" s="102">
        <f>MONTH(D55)</f>
        <v>1</v>
      </c>
      <c r="G55" s="102">
        <f>IF(selected_period="Total Year",1,IF(selected_period=cc_month_number,1,0))</f>
        <v>0</v>
      </c>
      <c r="H55" s="102">
        <f>1*E49</f>
        <v>1</v>
      </c>
      <c r="I55" s="102">
        <f>1*$E$52</f>
        <v>1</v>
      </c>
      <c r="J55" s="105">
        <f>SUMPRODUCT(Tracking[Amount], (Tracking[Type] = cc_type) *(YEAR(Tracking[Effective Date]) = selected_year) *(MONTH(Tracking[Effective Date]) = cc_month_number))</f>
        <v>4850</v>
      </c>
      <c r="K55" s="105">
        <f ca="1">INDEX('Budget Planning'!$E:$FA, income_total_row,  MATCH(DATE(selected_year,cc_month_number,1), 'Budget Planning'!$E$9:$FA$9,0))</f>
        <v>4650</v>
      </c>
      <c r="L55" s="105">
        <f ca="1">cc_budget - cc_tracked</f>
        <v>-200</v>
      </c>
      <c r="M55" s="105">
        <f ca="1">cc_in_focus * cc_show_type * MIN(cc_tracked,cc_budget)</f>
        <v>0</v>
      </c>
      <c r="N55" s="105">
        <f ca="1">cc_in_focus * cc_show_type * cc_show_remaining_budget * IF(cc_delta&gt;0,cc_delta,0)</f>
        <v>0</v>
      </c>
      <c r="O55" s="105">
        <f ca="1">cc_in_focus * cc_show_type * IF(cc_delta&lt;0,ABS(cc_delta),0)</f>
        <v>0</v>
      </c>
      <c r="P55" s="105">
        <f ca="1">NOT(cc_in_focus) * cc_show_type * MIN(cc_tracked,cc_budget)</f>
        <v>4650</v>
      </c>
      <c r="Q55" s="105">
        <f ca="1">NOT(cc_in_focus) * cc_show_type * cc_show_remaining_budget * IF(cc_delta&gt;0,cc_delta,0)</f>
        <v>0</v>
      </c>
      <c r="R55" s="105">
        <f ca="1">NOT(cc_in_focus) * cc_show_type * IF(cc_delta&lt;0,ABS(cc_delta),0)</f>
        <v>200</v>
      </c>
    </row>
    <row r="56" spans="4:28" x14ac:dyDescent="0.25">
      <c r="D56" s="117"/>
      <c r="E56" s="102" t="s">
        <v>17</v>
      </c>
      <c r="F56" s="102">
        <f>MONTH(D55)</f>
        <v>1</v>
      </c>
      <c r="G56" s="102">
        <f>IF(selected_period="Total Year",1,IF(selected_period=cc_month_number,1,0))</f>
        <v>0</v>
      </c>
      <c r="H56" s="102">
        <f>1*E50</f>
        <v>1</v>
      </c>
      <c r="I56" s="102">
        <f t="shared" ref="I56:I57" si="0">1*$E$52</f>
        <v>1</v>
      </c>
      <c r="J56" s="105">
        <f>SUMPRODUCT(Tracking[Amount], (Tracking[Type] = cc_type) *(YEAR(Tracking[Effective Date]) = selected_year) *(MONTH(Tracking[Effective Date]) = cc_month_number))</f>
        <v>2800</v>
      </c>
      <c r="K56" s="105">
        <f ca="1">INDEX('Budget Planning'!$E:$FA, expenses_total_row,  MATCH(DATE(selected_year,cc_month_number,1), 'Budget Planning'!$E$9:$FA$9,0))</f>
        <v>2900</v>
      </c>
      <c r="L56" s="105">
        <f ca="1">cc_budget - cc_tracked</f>
        <v>100</v>
      </c>
      <c r="M56" s="105">
        <f ca="1">cc_in_focus * cc_show_type * MIN(cc_tracked,cc_budget)</f>
        <v>0</v>
      </c>
      <c r="N56" s="105">
        <f ca="1">cc_in_focus * cc_show_type * cc_show_remaining_budget * IF(cc_delta&gt;0,cc_delta,0)</f>
        <v>0</v>
      </c>
      <c r="O56" s="105">
        <f ca="1">cc_in_focus * cc_show_type * IF(cc_delta&lt;0,ABS(cc_delta),0)</f>
        <v>0</v>
      </c>
      <c r="P56" s="105">
        <f ca="1">NOT(cc_in_focus) * cc_show_type * MIN(cc_tracked,cc_budget)</f>
        <v>2800</v>
      </c>
      <c r="Q56" s="105">
        <f ca="1">NOT(cc_in_focus) * cc_show_type * cc_show_remaining_budget * IF(cc_delta&gt;0,cc_delta,0)</f>
        <v>100</v>
      </c>
      <c r="R56" s="105">
        <f ca="1">NOT(cc_in_focus) * cc_show_type * IF(cc_delta&lt;0,ABS(cc_delta),0)</f>
        <v>0</v>
      </c>
    </row>
    <row r="57" spans="4:28" x14ac:dyDescent="0.25">
      <c r="D57" s="117"/>
      <c r="E57" s="102" t="s">
        <v>22</v>
      </c>
      <c r="F57" s="102">
        <f>MONTH(D55)</f>
        <v>1</v>
      </c>
      <c r="G57" s="102">
        <f>IF(selected_period="Total Year",1,IF(selected_period=cc_month_number,1,0))</f>
        <v>0</v>
      </c>
      <c r="H57" s="102">
        <f>1*E51</f>
        <v>1</v>
      </c>
      <c r="I57" s="102">
        <f t="shared" si="0"/>
        <v>1</v>
      </c>
      <c r="J57" s="105">
        <f>SUMPRODUCT(Tracking[Amount], (Tracking[Type] = cc_type) *(YEAR(Tracking[Effective Date]) = selected_year) *(MONTH(Tracking[Effective Date]) = cc_month_number))</f>
        <v>2050</v>
      </c>
      <c r="K57" s="105">
        <f ca="1">INDEX('Budget Planning'!$E:$FA, Savings_total_row,  MATCH(DATE(selected_year,cc_month_number,1), 'Budget Planning'!$E$9:$FA$9,0))</f>
        <v>1750</v>
      </c>
      <c r="L57" s="105">
        <f ca="1">cc_budget - cc_tracked</f>
        <v>-300</v>
      </c>
      <c r="M57" s="105">
        <f ca="1">cc_in_focus * cc_show_type * MIN(cc_tracked,cc_budget)</f>
        <v>0</v>
      </c>
      <c r="N57" s="105">
        <f ca="1">cc_in_focus * cc_show_type * cc_show_remaining_budget * IF(cc_delta&gt;0,cc_delta,0)</f>
        <v>0</v>
      </c>
      <c r="O57" s="105">
        <f ca="1">cc_in_focus * cc_show_type * IF(cc_delta&lt;0,ABS(cc_delta),0)</f>
        <v>0</v>
      </c>
      <c r="P57" s="105">
        <f ca="1">NOT(cc_in_focus) * cc_show_type * MIN(cc_tracked,cc_budget)</f>
        <v>1750</v>
      </c>
      <c r="Q57" s="105">
        <f ca="1">NOT(cc_in_focus) * cc_show_type * cc_show_remaining_budget * IF(cc_delta&gt;0,cc_delta,0)</f>
        <v>0</v>
      </c>
      <c r="R57" s="105">
        <f ca="1">NOT(cc_in_focus) * cc_show_type * IF(cc_delta&lt;0,ABS(cc_delta),0)</f>
        <v>300</v>
      </c>
    </row>
    <row r="58" spans="4:28" x14ac:dyDescent="0.25">
      <c r="D58" s="118"/>
      <c r="E58" s="103"/>
      <c r="F58" s="103"/>
      <c r="G58" s="103"/>
      <c r="H58" s="103"/>
      <c r="I58" s="103"/>
      <c r="J58" s="121"/>
      <c r="K58" s="121"/>
      <c r="L58" s="121"/>
      <c r="M58" s="103"/>
      <c r="N58" s="103"/>
      <c r="O58" s="103"/>
      <c r="P58" s="103"/>
      <c r="Q58" s="103"/>
      <c r="R58" s="103"/>
    </row>
    <row r="59" spans="4:28" x14ac:dyDescent="0.25">
      <c r="D59" s="116">
        <f>DATE(selected_year,2,1)</f>
        <v>44593</v>
      </c>
      <c r="E59" s="104" t="s">
        <v>11</v>
      </c>
      <c r="F59" s="102">
        <f t="shared" ref="F59" si="1">MONTH(D59)</f>
        <v>2</v>
      </c>
      <c r="G59" s="102">
        <f>IF(selected_period="Total Year",1,IF(selected_period=cc_month_number,1,0))</f>
        <v>1</v>
      </c>
      <c r="H59" s="104">
        <f>1*E49</f>
        <v>1</v>
      </c>
      <c r="I59" s="102">
        <f t="shared" ref="I59:I101" si="2">1*$E$52</f>
        <v>1</v>
      </c>
      <c r="J59" s="105">
        <f>SUMPRODUCT(Tracking[Amount], (Tracking[Type] = cc_type) *(YEAR(Tracking[Effective Date]) = selected_year) *(MONTH(Tracking[Effective Date]) = cc_month_number))</f>
        <v>4050</v>
      </c>
      <c r="K59" s="105">
        <f ca="1">INDEX('Budget Planning'!$E:$FA, income_total_row,  MATCH(DATE(selected_year,cc_month_number,1), 'Budget Planning'!$E$9:$FA$9,0))</f>
        <v>4550</v>
      </c>
      <c r="L59" s="105">
        <f ca="1">cc_budget - cc_tracked</f>
        <v>500</v>
      </c>
      <c r="M59" s="105">
        <f ca="1">cc_in_focus * cc_show_type * MIN(cc_tracked,cc_budget)</f>
        <v>4050</v>
      </c>
      <c r="N59" s="105">
        <f ca="1">cc_in_focus * cc_show_type * cc_show_remaining_budget * IF(cc_delta&gt;0,cc_delta,0)</f>
        <v>500</v>
      </c>
      <c r="O59" s="105">
        <f ca="1">cc_in_focus * cc_show_type * IF(cc_delta&lt;0,ABS(cc_delta),0)</f>
        <v>0</v>
      </c>
      <c r="P59" s="105">
        <f ca="1">NOT(cc_in_focus) * cc_show_type * MIN(cc_tracked,cc_budget)</f>
        <v>0</v>
      </c>
      <c r="Q59" s="105">
        <f ca="1">NOT(cc_in_focus) * cc_show_type * cc_show_remaining_budget * IF(cc_delta&gt;0,cc_delta,0)</f>
        <v>0</v>
      </c>
      <c r="R59" s="105">
        <f ca="1">NOT(cc_in_focus) * cc_show_type * IF(cc_delta&lt;0,ABS(cc_delta),0)</f>
        <v>0</v>
      </c>
    </row>
    <row r="60" spans="4:28" x14ac:dyDescent="0.25">
      <c r="D60" s="117"/>
      <c r="E60" s="102" t="s">
        <v>17</v>
      </c>
      <c r="F60" s="102">
        <f t="shared" ref="F60" si="3">MONTH(D59)</f>
        <v>2</v>
      </c>
      <c r="G60" s="102">
        <f>IF(selected_period="Total Year",1,IF(selected_period=cc_month_number,1,0))</f>
        <v>1</v>
      </c>
      <c r="H60" s="102">
        <f>1*E50</f>
        <v>1</v>
      </c>
      <c r="I60" s="102">
        <f t="shared" si="2"/>
        <v>1</v>
      </c>
      <c r="J60" s="105">
        <f>SUMPRODUCT(Tracking[Amount], (Tracking[Type] = cc_type) *(YEAR(Tracking[Effective Date]) = selected_year) *(MONTH(Tracking[Effective Date]) = cc_month_number))</f>
        <v>3010</v>
      </c>
      <c r="K60" s="105">
        <f ca="1">INDEX('Budget Planning'!$E:$FA, expenses_total_row,  MATCH(DATE(selected_year,cc_month_number,1), 'Budget Planning'!$E$9:$FA$9,0))</f>
        <v>2900</v>
      </c>
      <c r="L60" s="105">
        <f ca="1">cc_budget - cc_tracked</f>
        <v>-110</v>
      </c>
      <c r="M60" s="105">
        <f ca="1">cc_in_focus * cc_show_type * MIN(cc_tracked,cc_budget)</f>
        <v>2900</v>
      </c>
      <c r="N60" s="105">
        <f ca="1">cc_in_focus * cc_show_type * cc_show_remaining_budget * IF(cc_delta&gt;0,cc_delta,0)</f>
        <v>0</v>
      </c>
      <c r="O60" s="105">
        <f ca="1">cc_in_focus * cc_show_type * IF(cc_delta&lt;0,ABS(cc_delta),0)</f>
        <v>110</v>
      </c>
      <c r="P60" s="105">
        <f ca="1">NOT(cc_in_focus) * cc_show_type * MIN(cc_tracked,cc_budget)</f>
        <v>0</v>
      </c>
      <c r="Q60" s="105">
        <f ca="1">NOT(cc_in_focus) * cc_show_type * cc_show_remaining_budget * IF(cc_delta&gt;0,cc_delta,0)</f>
        <v>0</v>
      </c>
      <c r="R60" s="105">
        <f ca="1">NOT(cc_in_focus) * cc_show_type * IF(cc_delta&lt;0,ABS(cc_delta),0)</f>
        <v>0</v>
      </c>
    </row>
    <row r="61" spans="4:28" x14ac:dyDescent="0.25">
      <c r="D61" s="117"/>
      <c r="E61" s="102" t="s">
        <v>22</v>
      </c>
      <c r="F61" s="102">
        <f t="shared" ref="F61" si="4">MONTH(D59)</f>
        <v>2</v>
      </c>
      <c r="G61" s="102">
        <f>IF(selected_period="Total Year",1,IF(selected_period=cc_month_number,1,0))</f>
        <v>1</v>
      </c>
      <c r="H61" s="102">
        <f>1*E51</f>
        <v>1</v>
      </c>
      <c r="I61" s="102">
        <f t="shared" si="2"/>
        <v>1</v>
      </c>
      <c r="J61" s="105">
        <f>SUMPRODUCT(Tracking[Amount], (Tracking[Type] = cc_type) *(YEAR(Tracking[Effective Date]) = selected_year) *(MONTH(Tracking[Effective Date]) = cc_month_number))</f>
        <v>1040</v>
      </c>
      <c r="K61" s="105">
        <f ca="1">INDEX('Budget Planning'!$E:$FA, Savings_total_row,  MATCH(DATE(selected_year,cc_month_number,1), 'Budget Planning'!$E$9:$FA$9,0))</f>
        <v>1650</v>
      </c>
      <c r="L61" s="105">
        <f ca="1">cc_budget - cc_tracked</f>
        <v>610</v>
      </c>
      <c r="M61" s="105">
        <f ca="1">cc_in_focus * cc_show_type * MIN(cc_tracked,cc_budget)</f>
        <v>1040</v>
      </c>
      <c r="N61" s="105">
        <f ca="1">cc_in_focus * cc_show_type * cc_show_remaining_budget * IF(cc_delta&gt;0,cc_delta,0)</f>
        <v>610</v>
      </c>
      <c r="O61" s="105">
        <f ca="1">cc_in_focus * cc_show_type * IF(cc_delta&lt;0,ABS(cc_delta),0)</f>
        <v>0</v>
      </c>
      <c r="P61" s="105">
        <f ca="1">NOT(cc_in_focus) * cc_show_type * MIN(cc_tracked,cc_budget)</f>
        <v>0</v>
      </c>
      <c r="Q61" s="105">
        <f ca="1">NOT(cc_in_focus) * cc_show_type * cc_show_remaining_budget * IF(cc_delta&gt;0,cc_delta,0)</f>
        <v>0</v>
      </c>
      <c r="R61" s="105">
        <f ca="1">NOT(cc_in_focus) * cc_show_type * IF(cc_delta&lt;0,ABS(cc_delta),0)</f>
        <v>0</v>
      </c>
    </row>
    <row r="62" spans="4:28" x14ac:dyDescent="0.25">
      <c r="D62" s="118"/>
      <c r="E62" s="103"/>
      <c r="F62" s="103"/>
      <c r="G62" s="103"/>
      <c r="H62" s="103"/>
      <c r="I62" s="103"/>
      <c r="J62" s="121"/>
      <c r="K62" s="121"/>
      <c r="L62" s="121"/>
      <c r="M62" s="103"/>
      <c r="N62" s="103"/>
      <c r="O62" s="103"/>
      <c r="P62" s="103"/>
      <c r="Q62" s="103"/>
      <c r="R62" s="103"/>
    </row>
    <row r="63" spans="4:28" x14ac:dyDescent="0.25">
      <c r="D63" s="116">
        <f>DATE(selected_year,3,1)</f>
        <v>44621</v>
      </c>
      <c r="E63" s="104" t="s">
        <v>11</v>
      </c>
      <c r="F63" s="102">
        <f t="shared" ref="F63" si="5">MONTH(D63)</f>
        <v>3</v>
      </c>
      <c r="G63" s="102">
        <f>IF(selected_period="Total Year",1,IF(selected_period=cc_month_number,1,0))</f>
        <v>0</v>
      </c>
      <c r="H63" s="104">
        <f>1*E49</f>
        <v>1</v>
      </c>
      <c r="I63" s="102">
        <f t="shared" ref="I63" si="6">1*$E$52</f>
        <v>1</v>
      </c>
      <c r="J63" s="105">
        <f>SUMPRODUCT(Tracking[Amount], (Tracking[Type] = cc_type) *(YEAR(Tracking[Effective Date]) = selected_year) *(MONTH(Tracking[Effective Date]) = cc_month_number))</f>
        <v>4700</v>
      </c>
      <c r="K63" s="105">
        <f ca="1">INDEX('Budget Planning'!$E:$FA, income_total_row,  MATCH(DATE(selected_year,cc_month_number,1), 'Budget Planning'!$E$9:$FA$9,0))</f>
        <v>4600</v>
      </c>
      <c r="L63" s="105">
        <f ca="1">cc_budget - cc_tracked</f>
        <v>-100</v>
      </c>
      <c r="M63" s="105">
        <f ca="1">cc_in_focus * cc_show_type * MIN(cc_tracked,cc_budget)</f>
        <v>0</v>
      </c>
      <c r="N63" s="105">
        <f ca="1">cc_in_focus * cc_show_type * cc_show_remaining_budget * IF(cc_delta&gt;0,cc_delta,0)</f>
        <v>0</v>
      </c>
      <c r="O63" s="105">
        <f ca="1">cc_in_focus * cc_show_type * IF(cc_delta&lt;0,ABS(cc_delta),0)</f>
        <v>0</v>
      </c>
      <c r="P63" s="105">
        <f ca="1">NOT(cc_in_focus) * cc_show_type * MIN(cc_tracked,cc_budget)</f>
        <v>4600</v>
      </c>
      <c r="Q63" s="105">
        <f ca="1">NOT(cc_in_focus) * cc_show_type * cc_show_remaining_budget * IF(cc_delta&gt;0,cc_delta,0)</f>
        <v>0</v>
      </c>
      <c r="R63" s="105">
        <f ca="1">NOT(cc_in_focus) * cc_show_type * IF(cc_delta&lt;0,ABS(cc_delta),0)</f>
        <v>100</v>
      </c>
    </row>
    <row r="64" spans="4:28" x14ac:dyDescent="0.25">
      <c r="D64" s="117"/>
      <c r="E64" s="102" t="s">
        <v>17</v>
      </c>
      <c r="F64" s="102">
        <f t="shared" ref="F64" si="7">MONTH(D63)</f>
        <v>3</v>
      </c>
      <c r="G64" s="102">
        <f>IF(selected_period="Total Year",1,IF(selected_period=cc_month_number,1,0))</f>
        <v>0</v>
      </c>
      <c r="H64" s="102">
        <f>1*E50</f>
        <v>1</v>
      </c>
      <c r="I64" s="102">
        <f t="shared" si="2"/>
        <v>1</v>
      </c>
      <c r="J64" s="105">
        <f>SUMPRODUCT(Tracking[Amount], (Tracking[Type] = cc_type) *(YEAR(Tracking[Effective Date]) = selected_year) *(MONTH(Tracking[Effective Date]) = cc_month_number))</f>
        <v>2080</v>
      </c>
      <c r="K64" s="105">
        <f ca="1">INDEX('Budget Planning'!$E:$FA, expenses_total_row,  MATCH(DATE(selected_year,cc_month_number,1), 'Budget Planning'!$E$9:$FA$9,0))</f>
        <v>3050</v>
      </c>
      <c r="L64" s="105">
        <f ca="1">cc_budget - cc_tracked</f>
        <v>970</v>
      </c>
      <c r="M64" s="105">
        <f ca="1">cc_in_focus * cc_show_type * MIN(cc_tracked,cc_budget)</f>
        <v>0</v>
      </c>
      <c r="N64" s="105">
        <f ca="1">cc_in_focus * cc_show_type * cc_show_remaining_budget * IF(cc_delta&gt;0,cc_delta,0)</f>
        <v>0</v>
      </c>
      <c r="O64" s="105">
        <f ca="1">cc_in_focus * cc_show_type * IF(cc_delta&lt;0,ABS(cc_delta),0)</f>
        <v>0</v>
      </c>
      <c r="P64" s="105">
        <f ca="1">NOT(cc_in_focus) * cc_show_type * MIN(cc_tracked,cc_budget)</f>
        <v>2080</v>
      </c>
      <c r="Q64" s="105">
        <f ca="1">NOT(cc_in_focus) * cc_show_type * cc_show_remaining_budget * IF(cc_delta&gt;0,cc_delta,0)</f>
        <v>970</v>
      </c>
      <c r="R64" s="105">
        <f ca="1">NOT(cc_in_focus) * cc_show_type * IF(cc_delta&lt;0,ABS(cc_delta),0)</f>
        <v>0</v>
      </c>
    </row>
    <row r="65" spans="4:18" x14ac:dyDescent="0.25">
      <c r="D65" s="117"/>
      <c r="E65" s="102" t="s">
        <v>22</v>
      </c>
      <c r="F65" s="102">
        <f t="shared" ref="F65" si="8">MONTH(D63)</f>
        <v>3</v>
      </c>
      <c r="G65" s="102">
        <f>IF(selected_period="Total Year",1,IF(selected_period=cc_month_number,1,0))</f>
        <v>0</v>
      </c>
      <c r="H65" s="102">
        <f>1*E51</f>
        <v>1</v>
      </c>
      <c r="I65" s="102">
        <f t="shared" si="2"/>
        <v>1</v>
      </c>
      <c r="J65" s="105">
        <f>SUMPRODUCT(Tracking[Amount], (Tracking[Type] = cc_type) *(YEAR(Tracking[Effective Date]) = selected_year) *(MONTH(Tracking[Effective Date]) = cc_month_number))</f>
        <v>0</v>
      </c>
      <c r="K65" s="105">
        <f ca="1">INDEX('Budget Planning'!$E:$FA, Savings_total_row,  MATCH(DATE(selected_year,cc_month_number,1), 'Budget Planning'!$E$9:$FA$9,0))</f>
        <v>1550</v>
      </c>
      <c r="L65" s="105">
        <f ca="1">cc_budget - cc_tracked</f>
        <v>1550</v>
      </c>
      <c r="M65" s="105">
        <f ca="1">cc_in_focus * cc_show_type * MIN(cc_tracked,cc_budget)</f>
        <v>0</v>
      </c>
      <c r="N65" s="105">
        <f ca="1">cc_in_focus * cc_show_type * cc_show_remaining_budget * IF(cc_delta&gt;0,cc_delta,0)</f>
        <v>0</v>
      </c>
      <c r="O65" s="105">
        <f ca="1">cc_in_focus * cc_show_type * IF(cc_delta&lt;0,ABS(cc_delta),0)</f>
        <v>0</v>
      </c>
      <c r="P65" s="105">
        <f ca="1">NOT(cc_in_focus) * cc_show_type * MIN(cc_tracked,cc_budget)</f>
        <v>0</v>
      </c>
      <c r="Q65" s="105">
        <f ca="1">NOT(cc_in_focus) * cc_show_type * cc_show_remaining_budget * IF(cc_delta&gt;0,cc_delta,0)</f>
        <v>1550</v>
      </c>
      <c r="R65" s="105">
        <f ca="1">NOT(cc_in_focus) * cc_show_type * IF(cc_delta&lt;0,ABS(cc_delta),0)</f>
        <v>0</v>
      </c>
    </row>
    <row r="66" spans="4:18" x14ac:dyDescent="0.25">
      <c r="D66" s="118"/>
      <c r="E66" s="103"/>
      <c r="F66" s="103"/>
      <c r="G66" s="103"/>
      <c r="H66" s="103"/>
      <c r="I66" s="103"/>
      <c r="J66" s="121"/>
      <c r="K66" s="121"/>
      <c r="L66" s="121"/>
      <c r="M66" s="103"/>
      <c r="N66" s="103"/>
      <c r="O66" s="103"/>
      <c r="P66" s="103"/>
      <c r="Q66" s="103"/>
      <c r="R66" s="103"/>
    </row>
    <row r="67" spans="4:18" x14ac:dyDescent="0.25">
      <c r="D67" s="116">
        <f>DATE(selected_year,4,1)</f>
        <v>44652</v>
      </c>
      <c r="E67" s="104" t="s">
        <v>11</v>
      </c>
      <c r="F67" s="102">
        <f t="shared" ref="F67" si="9">MONTH(D67)</f>
        <v>4</v>
      </c>
      <c r="G67" s="102">
        <f>IF(selected_period="Total Year",1,IF(selected_period=cc_month_number,1,0))</f>
        <v>0</v>
      </c>
      <c r="H67" s="104">
        <f>1*E49</f>
        <v>1</v>
      </c>
      <c r="I67" s="102">
        <f t="shared" ref="I67" si="10">1*$E$52</f>
        <v>1</v>
      </c>
      <c r="J67" s="105">
        <f>SUMPRODUCT(Tracking[Amount], (Tracking[Type] = cc_type) *(YEAR(Tracking[Effective Date]) = selected_year) *(MONTH(Tracking[Effective Date]) = cc_month_number))</f>
        <v>0</v>
      </c>
      <c r="K67" s="105">
        <f ca="1">INDEX('Budget Planning'!$E:$FA, income_total_row,  MATCH(DATE(selected_year,cc_month_number,1), 'Budget Planning'!$E$9:$FA$9,0))</f>
        <v>5650</v>
      </c>
      <c r="L67" s="105">
        <f ca="1">cc_budget - cc_tracked</f>
        <v>5650</v>
      </c>
      <c r="M67" s="105">
        <f ca="1">cc_in_focus * cc_show_type * MIN(cc_tracked,cc_budget)</f>
        <v>0</v>
      </c>
      <c r="N67" s="105">
        <f ca="1">cc_in_focus * cc_show_type * cc_show_remaining_budget * IF(cc_delta&gt;0,cc_delta,0)</f>
        <v>0</v>
      </c>
      <c r="O67" s="105">
        <f ca="1">cc_in_focus * cc_show_type * IF(cc_delta&lt;0,ABS(cc_delta),0)</f>
        <v>0</v>
      </c>
      <c r="P67" s="105">
        <f ca="1">NOT(cc_in_focus) * cc_show_type * MIN(cc_tracked,cc_budget)</f>
        <v>0</v>
      </c>
      <c r="Q67" s="105">
        <f ca="1">NOT(cc_in_focus) * cc_show_type * cc_show_remaining_budget * IF(cc_delta&gt;0,cc_delta,0)</f>
        <v>5650</v>
      </c>
      <c r="R67" s="105">
        <f ca="1">NOT(cc_in_focus) * cc_show_type * IF(cc_delta&lt;0,ABS(cc_delta),0)</f>
        <v>0</v>
      </c>
    </row>
    <row r="68" spans="4:18" x14ac:dyDescent="0.25">
      <c r="D68" s="117"/>
      <c r="E68" s="102" t="s">
        <v>17</v>
      </c>
      <c r="F68" s="102">
        <f t="shared" ref="F68" si="11">MONTH(D67)</f>
        <v>4</v>
      </c>
      <c r="G68" s="102">
        <f>IF(selected_period="Total Year",1,IF(selected_period=cc_month_number,1,0))</f>
        <v>0</v>
      </c>
      <c r="H68" s="102">
        <f>1*E50</f>
        <v>1</v>
      </c>
      <c r="I68" s="102">
        <f t="shared" si="2"/>
        <v>1</v>
      </c>
      <c r="J68" s="105">
        <f>SUMPRODUCT(Tracking[Amount], (Tracking[Type] = cc_type) *(YEAR(Tracking[Effective Date]) = selected_year) *(MONTH(Tracking[Effective Date]) = cc_month_number))</f>
        <v>0</v>
      </c>
      <c r="K68" s="105">
        <f ca="1">INDEX('Budget Planning'!$E:$FA, expenses_total_row,  MATCH(DATE(selected_year,cc_month_number,1), 'Budget Planning'!$E$9:$FA$9,0))</f>
        <v>3800</v>
      </c>
      <c r="L68" s="105">
        <f ca="1">cc_budget - cc_tracked</f>
        <v>3800</v>
      </c>
      <c r="M68" s="105">
        <f ca="1">cc_in_focus * cc_show_type * MIN(cc_tracked,cc_budget)</f>
        <v>0</v>
      </c>
      <c r="N68" s="105">
        <f ca="1">cc_in_focus * cc_show_type * cc_show_remaining_budget * IF(cc_delta&gt;0,cc_delta,0)</f>
        <v>0</v>
      </c>
      <c r="O68" s="105">
        <f ca="1">cc_in_focus * cc_show_type * IF(cc_delta&lt;0,ABS(cc_delta),0)</f>
        <v>0</v>
      </c>
      <c r="P68" s="105">
        <f ca="1">NOT(cc_in_focus) * cc_show_type * MIN(cc_tracked,cc_budget)</f>
        <v>0</v>
      </c>
      <c r="Q68" s="105">
        <f ca="1">NOT(cc_in_focus) * cc_show_type * cc_show_remaining_budget * IF(cc_delta&gt;0,cc_delta,0)</f>
        <v>3800</v>
      </c>
      <c r="R68" s="105">
        <f ca="1">NOT(cc_in_focus) * cc_show_type * IF(cc_delta&lt;0,ABS(cc_delta),0)</f>
        <v>0</v>
      </c>
    </row>
    <row r="69" spans="4:18" x14ac:dyDescent="0.25">
      <c r="D69" s="117"/>
      <c r="E69" s="102" t="s">
        <v>22</v>
      </c>
      <c r="F69" s="102">
        <f t="shared" ref="F69" si="12">MONTH(D67)</f>
        <v>4</v>
      </c>
      <c r="G69" s="102">
        <f>IF(selected_period="Total Year",1,IF(selected_period=cc_month_number,1,0))</f>
        <v>0</v>
      </c>
      <c r="H69" s="102">
        <f>1*E51</f>
        <v>1</v>
      </c>
      <c r="I69" s="102">
        <f t="shared" si="2"/>
        <v>1</v>
      </c>
      <c r="J69" s="105">
        <f>SUMPRODUCT(Tracking[Amount], (Tracking[Type] = cc_type) *(YEAR(Tracking[Effective Date]) = selected_year) *(MONTH(Tracking[Effective Date]) = cc_month_number))</f>
        <v>0</v>
      </c>
      <c r="K69" s="105">
        <f ca="1">INDEX('Budget Planning'!$E:$FA, Savings_total_row,  MATCH(DATE(selected_year,cc_month_number,1), 'Budget Planning'!$E$9:$FA$9,0))</f>
        <v>1850</v>
      </c>
      <c r="L69" s="105">
        <f ca="1">cc_budget - cc_tracked</f>
        <v>1850</v>
      </c>
      <c r="M69" s="105">
        <f ca="1">cc_in_focus * cc_show_type * MIN(cc_tracked,cc_budget)</f>
        <v>0</v>
      </c>
      <c r="N69" s="105">
        <f ca="1">cc_in_focus * cc_show_type * cc_show_remaining_budget * IF(cc_delta&gt;0,cc_delta,0)</f>
        <v>0</v>
      </c>
      <c r="O69" s="105">
        <f ca="1">cc_in_focus * cc_show_type * IF(cc_delta&lt;0,ABS(cc_delta),0)</f>
        <v>0</v>
      </c>
      <c r="P69" s="105">
        <f ca="1">NOT(cc_in_focus) * cc_show_type * MIN(cc_tracked,cc_budget)</f>
        <v>0</v>
      </c>
      <c r="Q69" s="105">
        <f ca="1">NOT(cc_in_focus) * cc_show_type * cc_show_remaining_budget * IF(cc_delta&gt;0,cc_delta,0)</f>
        <v>1850</v>
      </c>
      <c r="R69" s="105">
        <f ca="1">NOT(cc_in_focus) * cc_show_type * IF(cc_delta&lt;0,ABS(cc_delta),0)</f>
        <v>0</v>
      </c>
    </row>
    <row r="70" spans="4:18" x14ac:dyDescent="0.25">
      <c r="D70" s="118"/>
      <c r="E70" s="103"/>
      <c r="F70" s="103"/>
      <c r="G70" s="103"/>
      <c r="H70" s="103"/>
      <c r="I70" s="103"/>
      <c r="J70" s="121"/>
      <c r="K70" s="121"/>
      <c r="L70" s="121"/>
      <c r="M70" s="103"/>
      <c r="N70" s="103"/>
      <c r="O70" s="103"/>
      <c r="P70" s="103"/>
      <c r="Q70" s="103"/>
      <c r="R70" s="103"/>
    </row>
    <row r="71" spans="4:18" x14ac:dyDescent="0.25">
      <c r="D71" s="116">
        <f>DATE(selected_year,5,1)</f>
        <v>44682</v>
      </c>
      <c r="E71" s="104" t="s">
        <v>11</v>
      </c>
      <c r="F71" s="102">
        <f t="shared" ref="F71" si="13">MONTH(D71)</f>
        <v>5</v>
      </c>
      <c r="G71" s="102">
        <f>IF(selected_period="Total Year",1,IF(selected_period=cc_month_number,1,0))</f>
        <v>0</v>
      </c>
      <c r="H71" s="104">
        <f>1*E49</f>
        <v>1</v>
      </c>
      <c r="I71" s="102">
        <f t="shared" ref="I71" si="14">1*$E$52</f>
        <v>1</v>
      </c>
      <c r="J71" s="105">
        <f>SUMPRODUCT(Tracking[Amount], (Tracking[Type] = cc_type) *(YEAR(Tracking[Effective Date]) = selected_year) *(MONTH(Tracking[Effective Date]) = cc_month_number))</f>
        <v>0</v>
      </c>
      <c r="K71" s="105">
        <f ca="1">INDEX('Budget Planning'!$E:$FA, income_total_row,  MATCH(DATE(selected_year,cc_month_number,1), 'Budget Planning'!$E$9:$FA$9,0))</f>
        <v>5550</v>
      </c>
      <c r="L71" s="105">
        <f ca="1">cc_budget - cc_tracked</f>
        <v>5550</v>
      </c>
      <c r="M71" s="105">
        <f ca="1">cc_in_focus * cc_show_type * MIN(cc_tracked,cc_budget)</f>
        <v>0</v>
      </c>
      <c r="N71" s="105">
        <f ca="1">cc_in_focus * cc_show_type * cc_show_remaining_budget * IF(cc_delta&gt;0,cc_delta,0)</f>
        <v>0</v>
      </c>
      <c r="O71" s="105">
        <f ca="1">cc_in_focus * cc_show_type * IF(cc_delta&lt;0,ABS(cc_delta),0)</f>
        <v>0</v>
      </c>
      <c r="P71" s="105">
        <f ca="1">NOT(cc_in_focus) * cc_show_type * MIN(cc_tracked,cc_budget)</f>
        <v>0</v>
      </c>
      <c r="Q71" s="105">
        <f ca="1">NOT(cc_in_focus) * cc_show_type * cc_show_remaining_budget * IF(cc_delta&gt;0,cc_delta,0)</f>
        <v>5550</v>
      </c>
      <c r="R71" s="105">
        <f ca="1">NOT(cc_in_focus) * cc_show_type * IF(cc_delta&lt;0,ABS(cc_delta),0)</f>
        <v>0</v>
      </c>
    </row>
    <row r="72" spans="4:18" x14ac:dyDescent="0.25">
      <c r="D72" s="117"/>
      <c r="E72" s="102" t="s">
        <v>17</v>
      </c>
      <c r="F72" s="102">
        <f t="shared" ref="F72" si="15">MONTH(D71)</f>
        <v>5</v>
      </c>
      <c r="G72" s="102">
        <f>IF(selected_period="Total Year",1,IF(selected_period=cc_month_number,1,0))</f>
        <v>0</v>
      </c>
      <c r="H72" s="102">
        <f>1*E50</f>
        <v>1</v>
      </c>
      <c r="I72" s="102">
        <f t="shared" si="2"/>
        <v>1</v>
      </c>
      <c r="J72" s="105">
        <f>SUMPRODUCT(Tracking[Amount], (Tracking[Type] = cc_type) *(YEAR(Tracking[Effective Date]) = selected_year) *(MONTH(Tracking[Effective Date]) = cc_month_number))</f>
        <v>0</v>
      </c>
      <c r="K72" s="105">
        <f ca="1">INDEX('Budget Planning'!$E:$FA, expenses_total_row,  MATCH(DATE(selected_year,cc_month_number,1), 'Budget Planning'!$E$9:$FA$9,0))</f>
        <v>2900</v>
      </c>
      <c r="L72" s="105">
        <f ca="1">cc_budget - cc_tracked</f>
        <v>2900</v>
      </c>
      <c r="M72" s="105">
        <f ca="1">cc_in_focus * cc_show_type * MIN(cc_tracked,cc_budget)</f>
        <v>0</v>
      </c>
      <c r="N72" s="105">
        <f ca="1">cc_in_focus * cc_show_type * cc_show_remaining_budget * IF(cc_delta&gt;0,cc_delta,0)</f>
        <v>0</v>
      </c>
      <c r="O72" s="105">
        <f ca="1">cc_in_focus * cc_show_type * IF(cc_delta&lt;0,ABS(cc_delta),0)</f>
        <v>0</v>
      </c>
      <c r="P72" s="105">
        <f ca="1">NOT(cc_in_focus) * cc_show_type * MIN(cc_tracked,cc_budget)</f>
        <v>0</v>
      </c>
      <c r="Q72" s="105">
        <f ca="1">NOT(cc_in_focus) * cc_show_type * cc_show_remaining_budget * IF(cc_delta&gt;0,cc_delta,0)</f>
        <v>2900</v>
      </c>
      <c r="R72" s="105">
        <f ca="1">NOT(cc_in_focus) * cc_show_type * IF(cc_delta&lt;0,ABS(cc_delta),0)</f>
        <v>0</v>
      </c>
    </row>
    <row r="73" spans="4:18" x14ac:dyDescent="0.25">
      <c r="D73" s="117"/>
      <c r="E73" s="102" t="s">
        <v>22</v>
      </c>
      <c r="F73" s="102">
        <f t="shared" ref="F73" si="16">MONTH(D71)</f>
        <v>5</v>
      </c>
      <c r="G73" s="102">
        <f>IF(selected_period="Total Year",1,IF(selected_period=cc_month_number,1,0))</f>
        <v>0</v>
      </c>
      <c r="H73" s="102">
        <f>1*E51</f>
        <v>1</v>
      </c>
      <c r="I73" s="102">
        <f t="shared" si="2"/>
        <v>1</v>
      </c>
      <c r="J73" s="105">
        <f>SUMPRODUCT(Tracking[Amount], (Tracking[Type] = cc_type) *(YEAR(Tracking[Effective Date]) = selected_year) *(MONTH(Tracking[Effective Date]) = cc_month_number))</f>
        <v>0</v>
      </c>
      <c r="K73" s="105">
        <f ca="1">INDEX('Budget Planning'!$E:$FA, Savings_total_row,  MATCH(DATE(selected_year,cc_month_number,1), 'Budget Planning'!$E$9:$FA$9,0))</f>
        <v>2650</v>
      </c>
      <c r="L73" s="105">
        <f ca="1">cc_budget - cc_tracked</f>
        <v>2650</v>
      </c>
      <c r="M73" s="105">
        <f ca="1">cc_in_focus * cc_show_type * MIN(cc_tracked,cc_budget)</f>
        <v>0</v>
      </c>
      <c r="N73" s="105">
        <f ca="1">cc_in_focus * cc_show_type * cc_show_remaining_budget * IF(cc_delta&gt;0,cc_delta,0)</f>
        <v>0</v>
      </c>
      <c r="O73" s="105">
        <f ca="1">cc_in_focus * cc_show_type * IF(cc_delta&lt;0,ABS(cc_delta),0)</f>
        <v>0</v>
      </c>
      <c r="P73" s="105">
        <f ca="1">NOT(cc_in_focus) * cc_show_type * MIN(cc_tracked,cc_budget)</f>
        <v>0</v>
      </c>
      <c r="Q73" s="105">
        <f ca="1">NOT(cc_in_focus) * cc_show_type * cc_show_remaining_budget * IF(cc_delta&gt;0,cc_delta,0)</f>
        <v>2650</v>
      </c>
      <c r="R73" s="105">
        <f ca="1">NOT(cc_in_focus) * cc_show_type * IF(cc_delta&lt;0,ABS(cc_delta),0)</f>
        <v>0</v>
      </c>
    </row>
    <row r="74" spans="4:18" x14ac:dyDescent="0.25">
      <c r="D74" s="118"/>
      <c r="E74" s="103"/>
      <c r="F74" s="103"/>
      <c r="G74" s="103"/>
      <c r="H74" s="103"/>
      <c r="I74" s="103"/>
      <c r="J74" s="121"/>
      <c r="K74" s="121"/>
      <c r="L74" s="121"/>
      <c r="M74" s="103"/>
      <c r="N74" s="103"/>
      <c r="O74" s="103"/>
      <c r="P74" s="103"/>
      <c r="Q74" s="103"/>
      <c r="R74" s="103"/>
    </row>
    <row r="75" spans="4:18" x14ac:dyDescent="0.25">
      <c r="D75" s="116">
        <f>DATE(selected_year,6,1)</f>
        <v>44713</v>
      </c>
      <c r="E75" s="104" t="s">
        <v>11</v>
      </c>
      <c r="F75" s="102">
        <f t="shared" ref="F75" si="17">MONTH(D75)</f>
        <v>6</v>
      </c>
      <c r="G75" s="102">
        <f>IF(selected_period="Total Year",1,IF(selected_period=cc_month_number,1,0))</f>
        <v>0</v>
      </c>
      <c r="H75" s="104">
        <f>1*E49</f>
        <v>1</v>
      </c>
      <c r="I75" s="102">
        <f t="shared" ref="I75" si="18">1*$E$52</f>
        <v>1</v>
      </c>
      <c r="J75" s="105">
        <f>SUMPRODUCT(Tracking[Amount], (Tracking[Type] = cc_type) *(YEAR(Tracking[Effective Date]) = selected_year) *(MONTH(Tracking[Effective Date]) = cc_month_number))</f>
        <v>0</v>
      </c>
      <c r="K75" s="105">
        <f ca="1">INDEX('Budget Planning'!$E:$FA, income_total_row,  MATCH(DATE(selected_year,cc_month_number,1), 'Budget Planning'!$E$9:$FA$9,0))</f>
        <v>5600</v>
      </c>
      <c r="L75" s="105">
        <f ca="1">cc_budget - cc_tracked</f>
        <v>5600</v>
      </c>
      <c r="M75" s="105">
        <f ca="1">cc_in_focus * cc_show_type * MIN(cc_tracked,cc_budget)</f>
        <v>0</v>
      </c>
      <c r="N75" s="105">
        <f ca="1">cc_in_focus * cc_show_type * cc_show_remaining_budget * IF(cc_delta&gt;0,cc_delta,0)</f>
        <v>0</v>
      </c>
      <c r="O75" s="105">
        <f ca="1">cc_in_focus * cc_show_type * IF(cc_delta&lt;0,ABS(cc_delta),0)</f>
        <v>0</v>
      </c>
      <c r="P75" s="105">
        <f ca="1">NOT(cc_in_focus) * cc_show_type * MIN(cc_tracked,cc_budget)</f>
        <v>0</v>
      </c>
      <c r="Q75" s="105">
        <f ca="1">NOT(cc_in_focus) * cc_show_type * cc_show_remaining_budget * IF(cc_delta&gt;0,cc_delta,0)</f>
        <v>5600</v>
      </c>
      <c r="R75" s="105">
        <f ca="1">NOT(cc_in_focus) * cc_show_type * IF(cc_delta&lt;0,ABS(cc_delta),0)</f>
        <v>0</v>
      </c>
    </row>
    <row r="76" spans="4:18" x14ac:dyDescent="0.25">
      <c r="D76" s="117"/>
      <c r="E76" s="102" t="s">
        <v>17</v>
      </c>
      <c r="F76" s="102">
        <f t="shared" ref="F76" si="19">MONTH(D75)</f>
        <v>6</v>
      </c>
      <c r="G76" s="102">
        <f>IF(selected_period="Total Year",1,IF(selected_period=cc_month_number,1,0))</f>
        <v>0</v>
      </c>
      <c r="H76" s="102">
        <f>1*E50</f>
        <v>1</v>
      </c>
      <c r="I76" s="102">
        <f t="shared" si="2"/>
        <v>1</v>
      </c>
      <c r="J76" s="105">
        <f>SUMPRODUCT(Tracking[Amount], (Tracking[Type] = cc_type) *(YEAR(Tracking[Effective Date]) = selected_year) *(MONTH(Tracking[Effective Date]) = cc_month_number))</f>
        <v>0</v>
      </c>
      <c r="K76" s="105">
        <f ca="1">INDEX('Budget Planning'!$E:$FA, expenses_total_row,  MATCH(DATE(selected_year,cc_month_number,1), 'Budget Planning'!$E$9:$FA$9,0))</f>
        <v>3050</v>
      </c>
      <c r="L76" s="105">
        <f ca="1">cc_budget - cc_tracked</f>
        <v>3050</v>
      </c>
      <c r="M76" s="105">
        <f ca="1">cc_in_focus * cc_show_type * MIN(cc_tracked,cc_budget)</f>
        <v>0</v>
      </c>
      <c r="N76" s="105">
        <f ca="1">cc_in_focus * cc_show_type * cc_show_remaining_budget * IF(cc_delta&gt;0,cc_delta,0)</f>
        <v>0</v>
      </c>
      <c r="O76" s="105">
        <f ca="1">cc_in_focus * cc_show_type * IF(cc_delta&lt;0,ABS(cc_delta),0)</f>
        <v>0</v>
      </c>
      <c r="P76" s="105">
        <f ca="1">NOT(cc_in_focus) * cc_show_type * MIN(cc_tracked,cc_budget)</f>
        <v>0</v>
      </c>
      <c r="Q76" s="105">
        <f ca="1">NOT(cc_in_focus) * cc_show_type * cc_show_remaining_budget * IF(cc_delta&gt;0,cc_delta,0)</f>
        <v>3050</v>
      </c>
      <c r="R76" s="105">
        <f ca="1">NOT(cc_in_focus) * cc_show_type * IF(cc_delta&lt;0,ABS(cc_delta),0)</f>
        <v>0</v>
      </c>
    </row>
    <row r="77" spans="4:18" x14ac:dyDescent="0.25">
      <c r="D77" s="117"/>
      <c r="E77" s="102" t="s">
        <v>22</v>
      </c>
      <c r="F77" s="102">
        <f t="shared" ref="F77" si="20">MONTH(D75)</f>
        <v>6</v>
      </c>
      <c r="G77" s="102">
        <f>IF(selected_period="Total Year",1,IF(selected_period=cc_month_number,1,0))</f>
        <v>0</v>
      </c>
      <c r="H77" s="102">
        <f>1*E51</f>
        <v>1</v>
      </c>
      <c r="I77" s="102">
        <f t="shared" si="2"/>
        <v>1</v>
      </c>
      <c r="J77" s="105">
        <f>SUMPRODUCT(Tracking[Amount], (Tracking[Type] = cc_type) *(YEAR(Tracking[Effective Date]) = selected_year) *(MONTH(Tracking[Effective Date]) = cc_month_number))</f>
        <v>0</v>
      </c>
      <c r="K77" s="105">
        <f ca="1">INDEX('Budget Planning'!$E:$FA, Savings_total_row,  MATCH(DATE(selected_year,cc_month_number,1), 'Budget Planning'!$E$9:$FA$9,0))</f>
        <v>2550</v>
      </c>
      <c r="L77" s="105">
        <f ca="1">cc_budget - cc_tracked</f>
        <v>2550</v>
      </c>
      <c r="M77" s="105">
        <f ca="1">cc_in_focus * cc_show_type * MIN(cc_tracked,cc_budget)</f>
        <v>0</v>
      </c>
      <c r="N77" s="105">
        <f ca="1">cc_in_focus * cc_show_type * cc_show_remaining_budget * IF(cc_delta&gt;0,cc_delta,0)</f>
        <v>0</v>
      </c>
      <c r="O77" s="105">
        <f ca="1">cc_in_focus * cc_show_type * IF(cc_delta&lt;0,ABS(cc_delta),0)</f>
        <v>0</v>
      </c>
      <c r="P77" s="105">
        <f ca="1">NOT(cc_in_focus) * cc_show_type * MIN(cc_tracked,cc_budget)</f>
        <v>0</v>
      </c>
      <c r="Q77" s="105">
        <f ca="1">NOT(cc_in_focus) * cc_show_type * cc_show_remaining_budget * IF(cc_delta&gt;0,cc_delta,0)</f>
        <v>2550</v>
      </c>
      <c r="R77" s="105">
        <f ca="1">NOT(cc_in_focus) * cc_show_type * IF(cc_delta&lt;0,ABS(cc_delta),0)</f>
        <v>0</v>
      </c>
    </row>
    <row r="78" spans="4:18" x14ac:dyDescent="0.25">
      <c r="D78" s="118"/>
      <c r="E78" s="103"/>
      <c r="F78" s="103"/>
      <c r="G78" s="103"/>
      <c r="H78" s="103"/>
      <c r="I78" s="103"/>
      <c r="J78" s="121"/>
      <c r="K78" s="121"/>
      <c r="L78" s="121"/>
      <c r="M78" s="103"/>
      <c r="N78" s="103"/>
      <c r="O78" s="103"/>
      <c r="P78" s="103"/>
      <c r="Q78" s="103"/>
      <c r="R78" s="103"/>
    </row>
    <row r="79" spans="4:18" x14ac:dyDescent="0.25">
      <c r="D79" s="116">
        <f>DATE(selected_year,7,1)</f>
        <v>44743</v>
      </c>
      <c r="E79" s="104" t="s">
        <v>11</v>
      </c>
      <c r="F79" s="102">
        <f t="shared" ref="F79" si="21">MONTH(D79)</f>
        <v>7</v>
      </c>
      <c r="G79" s="102">
        <f>IF(selected_period="Total Year",1,IF(selected_period=cc_month_number,1,0))</f>
        <v>0</v>
      </c>
      <c r="H79" s="104">
        <f>1*E49</f>
        <v>1</v>
      </c>
      <c r="I79" s="102">
        <f t="shared" ref="I79" si="22">1*$E$52</f>
        <v>1</v>
      </c>
      <c r="J79" s="105">
        <f>SUMPRODUCT(Tracking[Amount], (Tracking[Type] = cc_type) *(YEAR(Tracking[Effective Date]) = selected_year) *(MONTH(Tracking[Effective Date]) = cc_month_number))</f>
        <v>0</v>
      </c>
      <c r="K79" s="105">
        <f ca="1">INDEX('Budget Planning'!$E:$FA, income_total_row,  MATCH(DATE(selected_year,cc_month_number,1), 'Budget Planning'!$E$9:$FA$9,0))</f>
        <v>5650</v>
      </c>
      <c r="L79" s="105">
        <f ca="1">cc_budget - cc_tracked</f>
        <v>5650</v>
      </c>
      <c r="M79" s="105">
        <f ca="1">cc_in_focus * cc_show_type * MIN(cc_tracked,cc_budget)</f>
        <v>0</v>
      </c>
      <c r="N79" s="105">
        <f ca="1">cc_in_focus * cc_show_type * cc_show_remaining_budget * IF(cc_delta&gt;0,cc_delta,0)</f>
        <v>0</v>
      </c>
      <c r="O79" s="105">
        <f ca="1">cc_in_focus * cc_show_type * IF(cc_delta&lt;0,ABS(cc_delta),0)</f>
        <v>0</v>
      </c>
      <c r="P79" s="105">
        <f ca="1">NOT(cc_in_focus) * cc_show_type * MIN(cc_tracked,cc_budget)</f>
        <v>0</v>
      </c>
      <c r="Q79" s="105">
        <f ca="1">NOT(cc_in_focus) * cc_show_type * cc_show_remaining_budget * IF(cc_delta&gt;0,cc_delta,0)</f>
        <v>5650</v>
      </c>
      <c r="R79" s="105">
        <f ca="1">NOT(cc_in_focus) * cc_show_type * IF(cc_delta&lt;0,ABS(cc_delta),0)</f>
        <v>0</v>
      </c>
    </row>
    <row r="80" spans="4:18" x14ac:dyDescent="0.25">
      <c r="D80" s="117"/>
      <c r="E80" s="102" t="s">
        <v>17</v>
      </c>
      <c r="F80" s="102">
        <f t="shared" ref="F80" si="23">MONTH(D79)</f>
        <v>7</v>
      </c>
      <c r="G80" s="102">
        <f>IF(selected_period="Total Year",1,IF(selected_period=cc_month_number,1,0))</f>
        <v>0</v>
      </c>
      <c r="H80" s="102">
        <f>1*E50</f>
        <v>1</v>
      </c>
      <c r="I80" s="102">
        <f t="shared" si="2"/>
        <v>1</v>
      </c>
      <c r="J80" s="105">
        <f>SUMPRODUCT(Tracking[Amount], (Tracking[Type] = cc_type) *(YEAR(Tracking[Effective Date]) = selected_year) *(MONTH(Tracking[Effective Date]) = cc_month_number))</f>
        <v>0</v>
      </c>
      <c r="K80" s="105">
        <f ca="1">INDEX('Budget Planning'!$E:$FA, expenses_total_row,  MATCH(DATE(selected_year,cc_month_number,1), 'Budget Planning'!$E$9:$FA$9,0))</f>
        <v>2900</v>
      </c>
      <c r="L80" s="105">
        <f ca="1">cc_budget - cc_tracked</f>
        <v>2900</v>
      </c>
      <c r="M80" s="105">
        <f ca="1">cc_in_focus * cc_show_type * MIN(cc_tracked,cc_budget)</f>
        <v>0</v>
      </c>
      <c r="N80" s="105">
        <f ca="1">cc_in_focus * cc_show_type * cc_show_remaining_budget * IF(cc_delta&gt;0,cc_delta,0)</f>
        <v>0</v>
      </c>
      <c r="O80" s="105">
        <f ca="1">cc_in_focus * cc_show_type * IF(cc_delta&lt;0,ABS(cc_delta),0)</f>
        <v>0</v>
      </c>
      <c r="P80" s="105">
        <f ca="1">NOT(cc_in_focus) * cc_show_type * MIN(cc_tracked,cc_budget)</f>
        <v>0</v>
      </c>
      <c r="Q80" s="105">
        <f ca="1">NOT(cc_in_focus) * cc_show_type * cc_show_remaining_budget * IF(cc_delta&gt;0,cc_delta,0)</f>
        <v>2900</v>
      </c>
      <c r="R80" s="105">
        <f ca="1">NOT(cc_in_focus) * cc_show_type * IF(cc_delta&lt;0,ABS(cc_delta),0)</f>
        <v>0</v>
      </c>
    </row>
    <row r="81" spans="4:18" x14ac:dyDescent="0.25">
      <c r="D81" s="117"/>
      <c r="E81" s="102" t="s">
        <v>22</v>
      </c>
      <c r="F81" s="102">
        <f t="shared" ref="F81" si="24">MONTH(D79)</f>
        <v>7</v>
      </c>
      <c r="G81" s="102">
        <f>IF(selected_period="Total Year",1,IF(selected_period=cc_month_number,1,0))</f>
        <v>0</v>
      </c>
      <c r="H81" s="102">
        <f>1*E51</f>
        <v>1</v>
      </c>
      <c r="I81" s="102">
        <f t="shared" si="2"/>
        <v>1</v>
      </c>
      <c r="J81" s="105">
        <f>SUMPRODUCT(Tracking[Amount], (Tracking[Type] = cc_type) *(YEAR(Tracking[Effective Date]) = selected_year) *(MONTH(Tracking[Effective Date]) = cc_month_number))</f>
        <v>0</v>
      </c>
      <c r="K81" s="105">
        <f ca="1">INDEX('Budget Planning'!$E:$FA, Savings_total_row,  MATCH(DATE(selected_year,cc_month_number,1), 'Budget Planning'!$E$9:$FA$9,0))</f>
        <v>2750</v>
      </c>
      <c r="L81" s="105">
        <f ca="1">cc_budget - cc_tracked</f>
        <v>2750</v>
      </c>
      <c r="M81" s="105">
        <f ca="1">cc_in_focus * cc_show_type * MIN(cc_tracked,cc_budget)</f>
        <v>0</v>
      </c>
      <c r="N81" s="105">
        <f ca="1">cc_in_focus * cc_show_type * cc_show_remaining_budget * IF(cc_delta&gt;0,cc_delta,0)</f>
        <v>0</v>
      </c>
      <c r="O81" s="105">
        <f ca="1">cc_in_focus * cc_show_type * IF(cc_delta&lt;0,ABS(cc_delta),0)</f>
        <v>0</v>
      </c>
      <c r="P81" s="105">
        <f ca="1">NOT(cc_in_focus) * cc_show_type * MIN(cc_tracked,cc_budget)</f>
        <v>0</v>
      </c>
      <c r="Q81" s="105">
        <f ca="1">NOT(cc_in_focus) * cc_show_type * cc_show_remaining_budget * IF(cc_delta&gt;0,cc_delta,0)</f>
        <v>2750</v>
      </c>
      <c r="R81" s="105">
        <f ca="1">NOT(cc_in_focus) * cc_show_type * IF(cc_delta&lt;0,ABS(cc_delta),0)</f>
        <v>0</v>
      </c>
    </row>
    <row r="82" spans="4:18" x14ac:dyDescent="0.25">
      <c r="D82" s="118"/>
      <c r="E82" s="103"/>
      <c r="F82" s="103"/>
      <c r="G82" s="103"/>
      <c r="H82" s="103"/>
      <c r="I82" s="103"/>
      <c r="J82" s="121"/>
      <c r="K82" s="121"/>
      <c r="L82" s="121"/>
      <c r="M82" s="103"/>
      <c r="N82" s="103"/>
      <c r="O82" s="103"/>
      <c r="P82" s="103"/>
      <c r="Q82" s="103"/>
      <c r="R82" s="103"/>
    </row>
    <row r="83" spans="4:18" x14ac:dyDescent="0.25">
      <c r="D83" s="116">
        <f>DATE(selected_year,8,1)</f>
        <v>44774</v>
      </c>
      <c r="E83" s="104" t="s">
        <v>11</v>
      </c>
      <c r="F83" s="102">
        <f t="shared" ref="F83" si="25">MONTH(D83)</f>
        <v>8</v>
      </c>
      <c r="G83" s="102">
        <f>IF(selected_period="Total Year",1,IF(selected_period=cc_month_number,1,0))</f>
        <v>0</v>
      </c>
      <c r="H83" s="104">
        <f>1*E49</f>
        <v>1</v>
      </c>
      <c r="I83" s="102">
        <f t="shared" ref="I83" si="26">1*$E$52</f>
        <v>1</v>
      </c>
      <c r="J83" s="105">
        <f>SUMPRODUCT(Tracking[Amount], (Tracking[Type] = cc_type) *(YEAR(Tracking[Effective Date]) = selected_year) *(MONTH(Tracking[Effective Date]) = cc_month_number))</f>
        <v>0</v>
      </c>
      <c r="K83" s="105">
        <f ca="1">INDEX('Budget Planning'!$E:$FA, income_total_row,  MATCH(DATE(selected_year,cc_month_number,1), 'Budget Planning'!$E$9:$FA$9,0))</f>
        <v>5550</v>
      </c>
      <c r="L83" s="105">
        <f ca="1">cc_budget - cc_tracked</f>
        <v>5550</v>
      </c>
      <c r="M83" s="105">
        <f ca="1">cc_in_focus * cc_show_type * MIN(cc_tracked,cc_budget)</f>
        <v>0</v>
      </c>
      <c r="N83" s="105">
        <f ca="1">cc_in_focus * cc_show_type * cc_show_remaining_budget * IF(cc_delta&gt;0,cc_delta,0)</f>
        <v>0</v>
      </c>
      <c r="O83" s="105">
        <f ca="1">cc_in_focus * cc_show_type * IF(cc_delta&lt;0,ABS(cc_delta),0)</f>
        <v>0</v>
      </c>
      <c r="P83" s="105">
        <f ca="1">NOT(cc_in_focus) * cc_show_type * MIN(cc_tracked,cc_budget)</f>
        <v>0</v>
      </c>
      <c r="Q83" s="105">
        <f ca="1">NOT(cc_in_focus) * cc_show_type * cc_show_remaining_budget * IF(cc_delta&gt;0,cc_delta,0)</f>
        <v>5550</v>
      </c>
      <c r="R83" s="105">
        <f ca="1">NOT(cc_in_focus) * cc_show_type * IF(cc_delta&lt;0,ABS(cc_delta),0)</f>
        <v>0</v>
      </c>
    </row>
    <row r="84" spans="4:18" x14ac:dyDescent="0.25">
      <c r="D84" s="117"/>
      <c r="E84" s="102" t="s">
        <v>17</v>
      </c>
      <c r="F84" s="102">
        <f t="shared" ref="F84" si="27">MONTH(D83)</f>
        <v>8</v>
      </c>
      <c r="G84" s="102">
        <f>IF(selected_period="Total Year",1,IF(selected_period=cc_month_number,1,0))</f>
        <v>0</v>
      </c>
      <c r="H84" s="102">
        <f>1*E50</f>
        <v>1</v>
      </c>
      <c r="I84" s="102">
        <f t="shared" si="2"/>
        <v>1</v>
      </c>
      <c r="J84" s="105">
        <f>SUMPRODUCT(Tracking[Amount], (Tracking[Type] = cc_type) *(YEAR(Tracking[Effective Date]) = selected_year) *(MONTH(Tracking[Effective Date]) = cc_month_number))</f>
        <v>0</v>
      </c>
      <c r="K84" s="105">
        <f ca="1">INDEX('Budget Planning'!$E:$FA, expenses_total_row,  MATCH(DATE(selected_year,cc_month_number,1), 'Budget Planning'!$E$9:$FA$9,0))</f>
        <v>4100</v>
      </c>
      <c r="L84" s="105">
        <f ca="1">cc_budget - cc_tracked</f>
        <v>4100</v>
      </c>
      <c r="M84" s="105">
        <f ca="1">cc_in_focus * cc_show_type * MIN(cc_tracked,cc_budget)</f>
        <v>0</v>
      </c>
      <c r="N84" s="105">
        <f ca="1">cc_in_focus * cc_show_type * cc_show_remaining_budget * IF(cc_delta&gt;0,cc_delta,0)</f>
        <v>0</v>
      </c>
      <c r="O84" s="105">
        <f ca="1">cc_in_focus * cc_show_type * IF(cc_delta&lt;0,ABS(cc_delta),0)</f>
        <v>0</v>
      </c>
      <c r="P84" s="105">
        <f ca="1">NOT(cc_in_focus) * cc_show_type * MIN(cc_tracked,cc_budget)</f>
        <v>0</v>
      </c>
      <c r="Q84" s="105">
        <f ca="1">NOT(cc_in_focus) * cc_show_type * cc_show_remaining_budget * IF(cc_delta&gt;0,cc_delta,0)</f>
        <v>4100</v>
      </c>
      <c r="R84" s="105">
        <f ca="1">NOT(cc_in_focus) * cc_show_type * IF(cc_delta&lt;0,ABS(cc_delta),0)</f>
        <v>0</v>
      </c>
    </row>
    <row r="85" spans="4:18" x14ac:dyDescent="0.25">
      <c r="D85" s="117"/>
      <c r="E85" s="102" t="s">
        <v>22</v>
      </c>
      <c r="F85" s="102">
        <f t="shared" ref="F85" si="28">MONTH(D83)</f>
        <v>8</v>
      </c>
      <c r="G85" s="102">
        <f>IF(selected_period="Total Year",1,IF(selected_period=cc_month_number,1,0))</f>
        <v>0</v>
      </c>
      <c r="H85" s="102">
        <f>1*E51</f>
        <v>1</v>
      </c>
      <c r="I85" s="102">
        <f t="shared" si="2"/>
        <v>1</v>
      </c>
      <c r="J85" s="105">
        <f>SUMPRODUCT(Tracking[Amount], (Tracking[Type] = cc_type) *(YEAR(Tracking[Effective Date]) = selected_year) *(MONTH(Tracking[Effective Date]) = cc_month_number))</f>
        <v>0</v>
      </c>
      <c r="K85" s="105">
        <f ca="1">INDEX('Budget Planning'!$E:$FA, Savings_total_row,  MATCH(DATE(selected_year,cc_month_number,1), 'Budget Planning'!$E$9:$FA$9,0))</f>
        <v>1450</v>
      </c>
      <c r="L85" s="105">
        <f ca="1">cc_budget - cc_tracked</f>
        <v>1450</v>
      </c>
      <c r="M85" s="105">
        <f ca="1">cc_in_focus * cc_show_type * MIN(cc_tracked,cc_budget)</f>
        <v>0</v>
      </c>
      <c r="N85" s="105">
        <f ca="1">cc_in_focus * cc_show_type * cc_show_remaining_budget * IF(cc_delta&gt;0,cc_delta,0)</f>
        <v>0</v>
      </c>
      <c r="O85" s="105">
        <f ca="1">cc_in_focus * cc_show_type * IF(cc_delta&lt;0,ABS(cc_delta),0)</f>
        <v>0</v>
      </c>
      <c r="P85" s="105">
        <f ca="1">NOT(cc_in_focus) * cc_show_type * MIN(cc_tracked,cc_budget)</f>
        <v>0</v>
      </c>
      <c r="Q85" s="105">
        <f ca="1">NOT(cc_in_focus) * cc_show_type * cc_show_remaining_budget * IF(cc_delta&gt;0,cc_delta,0)</f>
        <v>1450</v>
      </c>
      <c r="R85" s="105">
        <f ca="1">NOT(cc_in_focus) * cc_show_type * IF(cc_delta&lt;0,ABS(cc_delta),0)</f>
        <v>0</v>
      </c>
    </row>
    <row r="86" spans="4:18" x14ac:dyDescent="0.25">
      <c r="D86" s="118"/>
      <c r="E86" s="103"/>
      <c r="F86" s="103"/>
      <c r="G86" s="103"/>
      <c r="H86" s="103"/>
      <c r="I86" s="103"/>
      <c r="J86" s="121"/>
      <c r="K86" s="121"/>
      <c r="L86" s="121"/>
      <c r="M86" s="103"/>
      <c r="N86" s="103"/>
      <c r="O86" s="103"/>
      <c r="P86" s="103"/>
      <c r="Q86" s="103"/>
      <c r="R86" s="103"/>
    </row>
    <row r="87" spans="4:18" x14ac:dyDescent="0.25">
      <c r="D87" s="116">
        <f>DATE(selected_year,9,1)</f>
        <v>44805</v>
      </c>
      <c r="E87" s="104" t="s">
        <v>11</v>
      </c>
      <c r="F87" s="102">
        <f t="shared" ref="F87" si="29">MONTH(D87)</f>
        <v>9</v>
      </c>
      <c r="G87" s="102">
        <f>IF(selected_period="Total Year",1,IF(selected_period=cc_month_number,1,0))</f>
        <v>0</v>
      </c>
      <c r="H87" s="104">
        <f>1*E49</f>
        <v>1</v>
      </c>
      <c r="I87" s="102">
        <f t="shared" ref="I87" si="30">1*$E$52</f>
        <v>1</v>
      </c>
      <c r="J87" s="105">
        <f>SUMPRODUCT(Tracking[Amount], (Tracking[Type] = cc_type) *(YEAR(Tracking[Effective Date]) = selected_year) *(MONTH(Tracking[Effective Date]) = cc_month_number))</f>
        <v>0</v>
      </c>
      <c r="K87" s="105">
        <f ca="1">INDEX('Budget Planning'!$E:$FA, income_total_row,  MATCH(DATE(selected_year,cc_month_number,1), 'Budget Planning'!$E$9:$FA$9,0))</f>
        <v>5600</v>
      </c>
      <c r="L87" s="105">
        <f ca="1">cc_budget - cc_tracked</f>
        <v>5600</v>
      </c>
      <c r="M87" s="105">
        <f ca="1">cc_in_focus * cc_show_type * MIN(cc_tracked,cc_budget)</f>
        <v>0</v>
      </c>
      <c r="N87" s="105">
        <f ca="1">cc_in_focus * cc_show_type * cc_show_remaining_budget * IF(cc_delta&gt;0,cc_delta,0)</f>
        <v>0</v>
      </c>
      <c r="O87" s="105">
        <f ca="1">cc_in_focus * cc_show_type * IF(cc_delta&lt;0,ABS(cc_delta),0)</f>
        <v>0</v>
      </c>
      <c r="P87" s="105">
        <f ca="1">NOT(cc_in_focus) * cc_show_type * MIN(cc_tracked,cc_budget)</f>
        <v>0</v>
      </c>
      <c r="Q87" s="105">
        <f ca="1">NOT(cc_in_focus) * cc_show_type * cc_show_remaining_budget * IF(cc_delta&gt;0,cc_delta,0)</f>
        <v>5600</v>
      </c>
      <c r="R87" s="105">
        <f ca="1">NOT(cc_in_focus) * cc_show_type * IF(cc_delta&lt;0,ABS(cc_delta),0)</f>
        <v>0</v>
      </c>
    </row>
    <row r="88" spans="4:18" x14ac:dyDescent="0.25">
      <c r="D88" s="117"/>
      <c r="E88" s="102" t="s">
        <v>17</v>
      </c>
      <c r="F88" s="102">
        <f t="shared" ref="F88" si="31">MONTH(D87)</f>
        <v>9</v>
      </c>
      <c r="G88" s="102">
        <f>IF(selected_period="Total Year",1,IF(selected_period=cc_month_number,1,0))</f>
        <v>0</v>
      </c>
      <c r="H88" s="102">
        <f>1*E50</f>
        <v>1</v>
      </c>
      <c r="I88" s="102">
        <f t="shared" si="2"/>
        <v>1</v>
      </c>
      <c r="J88" s="105">
        <f>SUMPRODUCT(Tracking[Amount], (Tracking[Type] = cc_type) *(YEAR(Tracking[Effective Date]) = selected_year) *(MONTH(Tracking[Effective Date]) = cc_month_number))</f>
        <v>0</v>
      </c>
      <c r="K88" s="105">
        <f ca="1">INDEX('Budget Planning'!$E:$FA, expenses_total_row,  MATCH(DATE(selected_year,cc_month_number,1), 'Budget Planning'!$E$9:$FA$9,0))</f>
        <v>3050</v>
      </c>
      <c r="L88" s="105">
        <f ca="1">cc_budget - cc_tracked</f>
        <v>3050</v>
      </c>
      <c r="M88" s="105">
        <f ca="1">cc_in_focus * cc_show_type * MIN(cc_tracked,cc_budget)</f>
        <v>0</v>
      </c>
      <c r="N88" s="105">
        <f ca="1">cc_in_focus * cc_show_type * cc_show_remaining_budget * IF(cc_delta&gt;0,cc_delta,0)</f>
        <v>0</v>
      </c>
      <c r="O88" s="105">
        <f ca="1">cc_in_focus * cc_show_type * IF(cc_delta&lt;0,ABS(cc_delta),0)</f>
        <v>0</v>
      </c>
      <c r="P88" s="105">
        <f ca="1">NOT(cc_in_focus) * cc_show_type * MIN(cc_tracked,cc_budget)</f>
        <v>0</v>
      </c>
      <c r="Q88" s="105">
        <f ca="1">NOT(cc_in_focus) * cc_show_type * cc_show_remaining_budget * IF(cc_delta&gt;0,cc_delta,0)</f>
        <v>3050</v>
      </c>
      <c r="R88" s="105">
        <f ca="1">NOT(cc_in_focus) * cc_show_type * IF(cc_delta&lt;0,ABS(cc_delta),0)</f>
        <v>0</v>
      </c>
    </row>
    <row r="89" spans="4:18" x14ac:dyDescent="0.25">
      <c r="D89" s="117"/>
      <c r="E89" s="102" t="s">
        <v>22</v>
      </c>
      <c r="F89" s="102">
        <f t="shared" ref="F89" si="32">MONTH(D87)</f>
        <v>9</v>
      </c>
      <c r="G89" s="102">
        <f>IF(selected_period="Total Year",1,IF(selected_period=cc_month_number,1,0))</f>
        <v>0</v>
      </c>
      <c r="H89" s="102">
        <f>1*E51</f>
        <v>1</v>
      </c>
      <c r="I89" s="102">
        <f t="shared" si="2"/>
        <v>1</v>
      </c>
      <c r="J89" s="105">
        <f>SUMPRODUCT(Tracking[Amount], (Tracking[Type] = cc_type) *(YEAR(Tracking[Effective Date]) = selected_year) *(MONTH(Tracking[Effective Date]) = cc_month_number))</f>
        <v>0</v>
      </c>
      <c r="K89" s="105">
        <f ca="1">INDEX('Budget Planning'!$E:$FA, Savings_total_row,  MATCH(DATE(selected_year,cc_month_number,1), 'Budget Planning'!$E$9:$FA$9,0))</f>
        <v>2550</v>
      </c>
      <c r="L89" s="105">
        <f ca="1">cc_budget - cc_tracked</f>
        <v>2550</v>
      </c>
      <c r="M89" s="105">
        <f ca="1">cc_in_focus * cc_show_type * MIN(cc_tracked,cc_budget)</f>
        <v>0</v>
      </c>
      <c r="N89" s="105">
        <f ca="1">cc_in_focus * cc_show_type * cc_show_remaining_budget * IF(cc_delta&gt;0,cc_delta,0)</f>
        <v>0</v>
      </c>
      <c r="O89" s="105">
        <f ca="1">cc_in_focus * cc_show_type * IF(cc_delta&lt;0,ABS(cc_delta),0)</f>
        <v>0</v>
      </c>
      <c r="P89" s="105">
        <f ca="1">NOT(cc_in_focus) * cc_show_type * MIN(cc_tracked,cc_budget)</f>
        <v>0</v>
      </c>
      <c r="Q89" s="105">
        <f ca="1">NOT(cc_in_focus) * cc_show_type * cc_show_remaining_budget * IF(cc_delta&gt;0,cc_delta,0)</f>
        <v>2550</v>
      </c>
      <c r="R89" s="105">
        <f ca="1">NOT(cc_in_focus) * cc_show_type * IF(cc_delta&lt;0,ABS(cc_delta),0)</f>
        <v>0</v>
      </c>
    </row>
    <row r="90" spans="4:18" x14ac:dyDescent="0.25">
      <c r="D90" s="118"/>
      <c r="E90" s="103"/>
      <c r="F90" s="103"/>
      <c r="G90" s="103"/>
      <c r="H90" s="103"/>
      <c r="I90" s="103"/>
      <c r="J90" s="121"/>
      <c r="K90" s="121"/>
      <c r="L90" s="121"/>
      <c r="M90" s="103"/>
      <c r="N90" s="103"/>
      <c r="O90" s="103"/>
      <c r="P90" s="103"/>
      <c r="Q90" s="103"/>
      <c r="R90" s="103"/>
    </row>
    <row r="91" spans="4:18" x14ac:dyDescent="0.25">
      <c r="D91" s="116">
        <f>DATE(selected_year,10,1)</f>
        <v>44835</v>
      </c>
      <c r="E91" s="104" t="s">
        <v>11</v>
      </c>
      <c r="F91" s="102">
        <f t="shared" ref="F91" si="33">MONTH(D91)</f>
        <v>10</v>
      </c>
      <c r="G91" s="102">
        <f>IF(selected_period="Total Year",1,IF(selected_period=cc_month_number,1,0))</f>
        <v>0</v>
      </c>
      <c r="H91" s="104">
        <f>1*E49</f>
        <v>1</v>
      </c>
      <c r="I91" s="102">
        <f t="shared" ref="I91" si="34">1*$E$52</f>
        <v>1</v>
      </c>
      <c r="J91" s="105">
        <f>SUMPRODUCT(Tracking[Amount], (Tracking[Type] = cc_type) *(YEAR(Tracking[Effective Date]) = selected_year) *(MONTH(Tracking[Effective Date]) = cc_month_number))</f>
        <v>0</v>
      </c>
      <c r="K91" s="105">
        <f ca="1">INDEX('Budget Planning'!$E:$FA, income_total_row,  MATCH(DATE(selected_year,cc_month_number,1), 'Budget Planning'!$E$9:$FA$9,0))</f>
        <v>5650</v>
      </c>
      <c r="L91" s="105">
        <f ca="1">cc_budget - cc_tracked</f>
        <v>5650</v>
      </c>
      <c r="M91" s="105">
        <f ca="1">cc_in_focus * cc_show_type * MIN(cc_tracked,cc_budget)</f>
        <v>0</v>
      </c>
      <c r="N91" s="105">
        <f ca="1">cc_in_focus * cc_show_type * cc_show_remaining_budget * IF(cc_delta&gt;0,cc_delta,0)</f>
        <v>0</v>
      </c>
      <c r="O91" s="105">
        <f ca="1">cc_in_focus * cc_show_type * IF(cc_delta&lt;0,ABS(cc_delta),0)</f>
        <v>0</v>
      </c>
      <c r="P91" s="105">
        <f ca="1">NOT(cc_in_focus) * cc_show_type * MIN(cc_tracked,cc_budget)</f>
        <v>0</v>
      </c>
      <c r="Q91" s="105">
        <f ca="1">NOT(cc_in_focus) * cc_show_type * cc_show_remaining_budget * IF(cc_delta&gt;0,cc_delta,0)</f>
        <v>5650</v>
      </c>
      <c r="R91" s="105">
        <f ca="1">NOT(cc_in_focus) * cc_show_type * IF(cc_delta&lt;0,ABS(cc_delta),0)</f>
        <v>0</v>
      </c>
    </row>
    <row r="92" spans="4:18" x14ac:dyDescent="0.25">
      <c r="D92" s="117"/>
      <c r="E92" s="102" t="s">
        <v>17</v>
      </c>
      <c r="F92" s="102">
        <f t="shared" ref="F92" si="35">MONTH(D91)</f>
        <v>10</v>
      </c>
      <c r="G92" s="102">
        <f>IF(selected_period="Total Year",1,IF(selected_period=cc_month_number,1,0))</f>
        <v>0</v>
      </c>
      <c r="H92" s="102">
        <f>1*E50</f>
        <v>1</v>
      </c>
      <c r="I92" s="102">
        <f t="shared" si="2"/>
        <v>1</v>
      </c>
      <c r="J92" s="105">
        <f>SUMPRODUCT(Tracking[Amount], (Tracking[Type] = cc_type) *(YEAR(Tracking[Effective Date]) = selected_year) *(MONTH(Tracking[Effective Date]) = cc_month_number))</f>
        <v>0</v>
      </c>
      <c r="K92" s="105">
        <f ca="1">INDEX('Budget Planning'!$E:$FA, expenses_total_row,  MATCH(DATE(selected_year,cc_month_number,1), 'Budget Planning'!$E$9:$FA$9,0))</f>
        <v>2900</v>
      </c>
      <c r="L92" s="105">
        <f ca="1">cc_budget - cc_tracked</f>
        <v>2900</v>
      </c>
      <c r="M92" s="105">
        <f ca="1">cc_in_focus * cc_show_type * MIN(cc_tracked,cc_budget)</f>
        <v>0</v>
      </c>
      <c r="N92" s="105">
        <f ca="1">cc_in_focus * cc_show_type * cc_show_remaining_budget * IF(cc_delta&gt;0,cc_delta,0)</f>
        <v>0</v>
      </c>
      <c r="O92" s="105">
        <f ca="1">cc_in_focus * cc_show_type * IF(cc_delta&lt;0,ABS(cc_delta),0)</f>
        <v>0</v>
      </c>
      <c r="P92" s="105">
        <f ca="1">NOT(cc_in_focus) * cc_show_type * MIN(cc_tracked,cc_budget)</f>
        <v>0</v>
      </c>
      <c r="Q92" s="105">
        <f ca="1">NOT(cc_in_focus) * cc_show_type * cc_show_remaining_budget * IF(cc_delta&gt;0,cc_delta,0)</f>
        <v>2900</v>
      </c>
      <c r="R92" s="105">
        <f ca="1">NOT(cc_in_focus) * cc_show_type * IF(cc_delta&lt;0,ABS(cc_delta),0)</f>
        <v>0</v>
      </c>
    </row>
    <row r="93" spans="4:18" x14ac:dyDescent="0.25">
      <c r="D93" s="117"/>
      <c r="E93" s="102" t="s">
        <v>22</v>
      </c>
      <c r="F93" s="102">
        <f t="shared" ref="F93" si="36">MONTH(D91)</f>
        <v>10</v>
      </c>
      <c r="G93" s="102">
        <f>IF(selected_period="Total Year",1,IF(selected_period=cc_month_number,1,0))</f>
        <v>0</v>
      </c>
      <c r="H93" s="102">
        <f>1*E51</f>
        <v>1</v>
      </c>
      <c r="I93" s="102">
        <f t="shared" si="2"/>
        <v>1</v>
      </c>
      <c r="J93" s="105">
        <f>SUMPRODUCT(Tracking[Amount], (Tracking[Type] = cc_type) *(YEAR(Tracking[Effective Date]) = selected_year) *(MONTH(Tracking[Effective Date]) = cc_month_number))</f>
        <v>0</v>
      </c>
      <c r="K93" s="105">
        <f ca="1">INDEX('Budget Planning'!$E:$FA, Savings_total_row,  MATCH(DATE(selected_year,cc_month_number,1), 'Budget Planning'!$E$9:$FA$9,0))</f>
        <v>2750</v>
      </c>
      <c r="L93" s="105">
        <f ca="1">cc_budget - cc_tracked</f>
        <v>2750</v>
      </c>
      <c r="M93" s="105">
        <f ca="1">cc_in_focus * cc_show_type * MIN(cc_tracked,cc_budget)</f>
        <v>0</v>
      </c>
      <c r="N93" s="105">
        <f ca="1">cc_in_focus * cc_show_type * cc_show_remaining_budget * IF(cc_delta&gt;0,cc_delta,0)</f>
        <v>0</v>
      </c>
      <c r="O93" s="105">
        <f ca="1">cc_in_focus * cc_show_type * IF(cc_delta&lt;0,ABS(cc_delta),0)</f>
        <v>0</v>
      </c>
      <c r="P93" s="105">
        <f ca="1">NOT(cc_in_focus) * cc_show_type * MIN(cc_tracked,cc_budget)</f>
        <v>0</v>
      </c>
      <c r="Q93" s="105">
        <f ca="1">NOT(cc_in_focus) * cc_show_type * cc_show_remaining_budget * IF(cc_delta&gt;0,cc_delta,0)</f>
        <v>2750</v>
      </c>
      <c r="R93" s="105">
        <f ca="1">NOT(cc_in_focus) * cc_show_type * IF(cc_delta&lt;0,ABS(cc_delta),0)</f>
        <v>0</v>
      </c>
    </row>
    <row r="94" spans="4:18" x14ac:dyDescent="0.25">
      <c r="D94" s="118"/>
      <c r="E94" s="103"/>
      <c r="F94" s="103"/>
      <c r="G94" s="103"/>
      <c r="H94" s="103"/>
      <c r="I94" s="103"/>
      <c r="J94" s="121"/>
      <c r="K94" s="121"/>
      <c r="L94" s="121"/>
      <c r="M94" s="103"/>
      <c r="N94" s="103"/>
      <c r="O94" s="103"/>
      <c r="P94" s="103"/>
      <c r="Q94" s="103"/>
      <c r="R94" s="103"/>
    </row>
    <row r="95" spans="4:18" x14ac:dyDescent="0.25">
      <c r="D95" s="116">
        <f>DATE(selected_year,11,1)</f>
        <v>44866</v>
      </c>
      <c r="E95" s="104" t="s">
        <v>11</v>
      </c>
      <c r="F95" s="102">
        <f t="shared" ref="F95" si="37">MONTH(D95)</f>
        <v>11</v>
      </c>
      <c r="G95" s="102">
        <f>IF(selected_period="Total Year",1,IF(selected_period=cc_month_number,1,0))</f>
        <v>0</v>
      </c>
      <c r="H95" s="104">
        <f>1*E49</f>
        <v>1</v>
      </c>
      <c r="I95" s="102">
        <f t="shared" ref="I95" si="38">1*$E$52</f>
        <v>1</v>
      </c>
      <c r="J95" s="105">
        <f>SUMPRODUCT(Tracking[Amount], (Tracking[Type] = cc_type) *(YEAR(Tracking[Effective Date]) = selected_year) *(MONTH(Tracking[Effective Date]) = cc_month_number))</f>
        <v>0</v>
      </c>
      <c r="K95" s="105">
        <f ca="1">INDEX('Budget Planning'!$E:$FA, income_total_row,  MATCH(DATE(selected_year,cc_month_number,1), 'Budget Planning'!$E$9:$FA$9,0))</f>
        <v>5550</v>
      </c>
      <c r="L95" s="105">
        <f ca="1">cc_budget - cc_tracked</f>
        <v>5550</v>
      </c>
      <c r="M95" s="105">
        <f ca="1">cc_in_focus * cc_show_type * MIN(cc_tracked,cc_budget)</f>
        <v>0</v>
      </c>
      <c r="N95" s="105">
        <f ca="1">cc_in_focus * cc_show_type * cc_show_remaining_budget * IF(cc_delta&gt;0,cc_delta,0)</f>
        <v>0</v>
      </c>
      <c r="O95" s="105">
        <f ca="1">cc_in_focus * cc_show_type * IF(cc_delta&lt;0,ABS(cc_delta),0)</f>
        <v>0</v>
      </c>
      <c r="P95" s="105">
        <f ca="1">NOT(cc_in_focus) * cc_show_type * MIN(cc_tracked,cc_budget)</f>
        <v>0</v>
      </c>
      <c r="Q95" s="105">
        <f ca="1">NOT(cc_in_focus) * cc_show_type * cc_show_remaining_budget * IF(cc_delta&gt;0,cc_delta,0)</f>
        <v>5550</v>
      </c>
      <c r="R95" s="105">
        <f ca="1">NOT(cc_in_focus) * cc_show_type * IF(cc_delta&lt;0,ABS(cc_delta),0)</f>
        <v>0</v>
      </c>
    </row>
    <row r="96" spans="4:18" x14ac:dyDescent="0.25">
      <c r="D96" s="117"/>
      <c r="E96" s="102" t="s">
        <v>17</v>
      </c>
      <c r="F96" s="102">
        <f t="shared" ref="F96" si="39">MONTH(D95)</f>
        <v>11</v>
      </c>
      <c r="G96" s="102">
        <f>IF(selected_period="Total Year",1,IF(selected_period=cc_month_number,1,0))</f>
        <v>0</v>
      </c>
      <c r="H96" s="102">
        <f>1*E50</f>
        <v>1</v>
      </c>
      <c r="I96" s="102">
        <f t="shared" si="2"/>
        <v>1</v>
      </c>
      <c r="J96" s="105">
        <f>SUMPRODUCT(Tracking[Amount], (Tracking[Type] = cc_type) *(YEAR(Tracking[Effective Date]) = selected_year) *(MONTH(Tracking[Effective Date]) = cc_month_number))</f>
        <v>0</v>
      </c>
      <c r="K96" s="105">
        <f ca="1">INDEX('Budget Planning'!$E:$FA, expenses_total_row,  MATCH(DATE(selected_year,cc_month_number,1), 'Budget Planning'!$E$9:$FA$9,0))</f>
        <v>2900</v>
      </c>
      <c r="L96" s="105">
        <f ca="1">cc_budget - cc_tracked</f>
        <v>2900</v>
      </c>
      <c r="M96" s="105">
        <f ca="1">cc_in_focus * cc_show_type * MIN(cc_tracked,cc_budget)</f>
        <v>0</v>
      </c>
      <c r="N96" s="105">
        <f ca="1">cc_in_focus * cc_show_type * cc_show_remaining_budget * IF(cc_delta&gt;0,cc_delta,0)</f>
        <v>0</v>
      </c>
      <c r="O96" s="105">
        <f ca="1">cc_in_focus * cc_show_type * IF(cc_delta&lt;0,ABS(cc_delta),0)</f>
        <v>0</v>
      </c>
      <c r="P96" s="105">
        <f ca="1">NOT(cc_in_focus) * cc_show_type * MIN(cc_tracked,cc_budget)</f>
        <v>0</v>
      </c>
      <c r="Q96" s="105">
        <f ca="1">NOT(cc_in_focus) * cc_show_type * cc_show_remaining_budget * IF(cc_delta&gt;0,cc_delta,0)</f>
        <v>2900</v>
      </c>
      <c r="R96" s="105">
        <f ca="1">NOT(cc_in_focus) * cc_show_type * IF(cc_delta&lt;0,ABS(cc_delta),0)</f>
        <v>0</v>
      </c>
    </row>
    <row r="97" spans="4:18" x14ac:dyDescent="0.25">
      <c r="D97" s="117"/>
      <c r="E97" s="102" t="s">
        <v>22</v>
      </c>
      <c r="F97" s="102">
        <f t="shared" ref="F97" si="40">MONTH(D95)</f>
        <v>11</v>
      </c>
      <c r="G97" s="102">
        <f>IF(selected_period="Total Year",1,IF(selected_period=cc_month_number,1,0))</f>
        <v>0</v>
      </c>
      <c r="H97" s="102">
        <f>1*E51</f>
        <v>1</v>
      </c>
      <c r="I97" s="102">
        <f t="shared" si="2"/>
        <v>1</v>
      </c>
      <c r="J97" s="105">
        <f>SUMPRODUCT(Tracking[Amount], (Tracking[Type] = cc_type) *(YEAR(Tracking[Effective Date]) = selected_year) *(MONTH(Tracking[Effective Date]) = cc_month_number))</f>
        <v>0</v>
      </c>
      <c r="K97" s="105">
        <f ca="1">INDEX('Budget Planning'!$E:$FA, Savings_total_row,  MATCH(DATE(selected_year,cc_month_number,1), 'Budget Planning'!$E$9:$FA$9,0))</f>
        <v>2650</v>
      </c>
      <c r="L97" s="105">
        <f ca="1">cc_budget - cc_tracked</f>
        <v>2650</v>
      </c>
      <c r="M97" s="105">
        <f ca="1">cc_in_focus * cc_show_type * MIN(cc_tracked,cc_budget)</f>
        <v>0</v>
      </c>
      <c r="N97" s="105">
        <f ca="1">cc_in_focus * cc_show_type * cc_show_remaining_budget * IF(cc_delta&gt;0,cc_delta,0)</f>
        <v>0</v>
      </c>
      <c r="O97" s="105">
        <f ca="1">cc_in_focus * cc_show_type * IF(cc_delta&lt;0,ABS(cc_delta),0)</f>
        <v>0</v>
      </c>
      <c r="P97" s="105">
        <f ca="1">NOT(cc_in_focus) * cc_show_type * MIN(cc_tracked,cc_budget)</f>
        <v>0</v>
      </c>
      <c r="Q97" s="105">
        <f ca="1">NOT(cc_in_focus) * cc_show_type * cc_show_remaining_budget * IF(cc_delta&gt;0,cc_delta,0)</f>
        <v>2650</v>
      </c>
      <c r="R97" s="105">
        <f ca="1">NOT(cc_in_focus) * cc_show_type * IF(cc_delta&lt;0,ABS(cc_delta),0)</f>
        <v>0</v>
      </c>
    </row>
    <row r="98" spans="4:18" x14ac:dyDescent="0.25">
      <c r="D98" s="118"/>
      <c r="E98" s="103"/>
      <c r="F98" s="103"/>
      <c r="G98" s="103"/>
      <c r="H98" s="103"/>
      <c r="I98" s="103"/>
      <c r="J98" s="121"/>
      <c r="K98" s="121"/>
      <c r="L98" s="121"/>
      <c r="M98" s="103"/>
      <c r="N98" s="103"/>
      <c r="O98" s="103"/>
      <c r="P98" s="103"/>
      <c r="Q98" s="103"/>
      <c r="R98" s="103"/>
    </row>
    <row r="99" spans="4:18" x14ac:dyDescent="0.25">
      <c r="D99" s="116">
        <f>DATE(selected_year,12,1)</f>
        <v>44896</v>
      </c>
      <c r="E99" s="104" t="s">
        <v>11</v>
      </c>
      <c r="F99" s="102">
        <f t="shared" ref="F99" si="41">MONTH(D99)</f>
        <v>12</v>
      </c>
      <c r="G99" s="102">
        <f>IF(selected_period="Total Year",1,IF(selected_period=cc_month_number,1,0))</f>
        <v>0</v>
      </c>
      <c r="H99" s="104">
        <f>1*E49</f>
        <v>1</v>
      </c>
      <c r="I99" s="102">
        <f t="shared" ref="I99" si="42">1*$E$52</f>
        <v>1</v>
      </c>
      <c r="J99" s="105">
        <f>SUMPRODUCT(Tracking[Amount], (Tracking[Type] = cc_type) *(YEAR(Tracking[Effective Date]) = selected_year) *(MONTH(Tracking[Effective Date]) = cc_month_number))</f>
        <v>0</v>
      </c>
      <c r="K99" s="105">
        <f ca="1">INDEX('Budget Planning'!$E:$FA, income_total_row,  MATCH(DATE(selected_year,cc_month_number,1), 'Budget Planning'!$E$9:$FA$9,0))</f>
        <v>5600</v>
      </c>
      <c r="L99" s="105">
        <f ca="1">cc_budget - cc_tracked</f>
        <v>5600</v>
      </c>
      <c r="M99" s="105">
        <f ca="1">cc_in_focus * cc_show_type * MIN(cc_tracked,cc_budget)</f>
        <v>0</v>
      </c>
      <c r="N99" s="105">
        <f ca="1">cc_in_focus * cc_show_type * cc_show_remaining_budget * IF(cc_delta&gt;0,cc_delta,0)</f>
        <v>0</v>
      </c>
      <c r="O99" s="105">
        <f ca="1">cc_in_focus * cc_show_type * IF(cc_delta&lt;0,ABS(cc_delta),0)</f>
        <v>0</v>
      </c>
      <c r="P99" s="105">
        <f ca="1">NOT(cc_in_focus) * cc_show_type * MIN(cc_tracked,cc_budget)</f>
        <v>0</v>
      </c>
      <c r="Q99" s="105">
        <f ca="1">NOT(cc_in_focus) * cc_show_type * cc_show_remaining_budget * IF(cc_delta&gt;0,cc_delta,0)</f>
        <v>5600</v>
      </c>
      <c r="R99" s="105">
        <f ca="1">NOT(cc_in_focus) * cc_show_type * IF(cc_delta&lt;0,ABS(cc_delta),0)</f>
        <v>0</v>
      </c>
    </row>
    <row r="100" spans="4:18" x14ac:dyDescent="0.25">
      <c r="D100" s="117"/>
      <c r="E100" s="102" t="s">
        <v>17</v>
      </c>
      <c r="F100" s="102">
        <f t="shared" ref="F100" si="43">MONTH(D99)</f>
        <v>12</v>
      </c>
      <c r="G100" s="102">
        <f>IF(selected_period="Total Year",1,IF(selected_period=cc_month_number,1,0))</f>
        <v>0</v>
      </c>
      <c r="H100" s="102">
        <f>1*E50</f>
        <v>1</v>
      </c>
      <c r="I100" s="102">
        <f t="shared" si="2"/>
        <v>1</v>
      </c>
      <c r="J100" s="105">
        <f>SUMPRODUCT(Tracking[Amount], (Tracking[Type] = cc_type) *(YEAR(Tracking[Effective Date]) = selected_year) *(MONTH(Tracking[Effective Date]) = cc_month_number))</f>
        <v>0</v>
      </c>
      <c r="K100" s="105">
        <f ca="1">INDEX('Budget Planning'!$E:$FA, expenses_total_row,  MATCH(DATE(selected_year,cc_month_number,1), 'Budget Planning'!$E$9:$FA$9,0))</f>
        <v>3350</v>
      </c>
      <c r="L100" s="105">
        <f ca="1">cc_budget - cc_tracked</f>
        <v>3350</v>
      </c>
      <c r="M100" s="105">
        <f ca="1">cc_in_focus * cc_show_type * MIN(cc_tracked,cc_budget)</f>
        <v>0</v>
      </c>
      <c r="N100" s="105">
        <f ca="1">cc_in_focus * cc_show_type * cc_show_remaining_budget * IF(cc_delta&gt;0,cc_delta,0)</f>
        <v>0</v>
      </c>
      <c r="O100" s="105">
        <f ca="1">cc_in_focus * cc_show_type * IF(cc_delta&lt;0,ABS(cc_delta),0)</f>
        <v>0</v>
      </c>
      <c r="P100" s="105">
        <f ca="1">NOT(cc_in_focus) * cc_show_type * MIN(cc_tracked,cc_budget)</f>
        <v>0</v>
      </c>
      <c r="Q100" s="105">
        <f ca="1">NOT(cc_in_focus) * cc_show_type * cc_show_remaining_budget * IF(cc_delta&gt;0,cc_delta,0)</f>
        <v>3350</v>
      </c>
      <c r="R100" s="105">
        <f ca="1">NOT(cc_in_focus) * cc_show_type * IF(cc_delta&lt;0,ABS(cc_delta),0)</f>
        <v>0</v>
      </c>
    </row>
    <row r="101" spans="4:18" x14ac:dyDescent="0.25">
      <c r="D101" s="117"/>
      <c r="E101" s="102" t="s">
        <v>22</v>
      </c>
      <c r="F101" s="102">
        <f t="shared" ref="F101" si="44">MONTH(D99)</f>
        <v>12</v>
      </c>
      <c r="G101" s="102">
        <f>IF(selected_period="Total Year",1,IF(selected_period=cc_month_number,1,0))</f>
        <v>0</v>
      </c>
      <c r="H101" s="102">
        <f>1*E51</f>
        <v>1</v>
      </c>
      <c r="I101" s="102">
        <f t="shared" si="2"/>
        <v>1</v>
      </c>
      <c r="J101" s="105">
        <f>SUMPRODUCT(Tracking[Amount], (Tracking[Type] = cc_type) *(YEAR(Tracking[Effective Date]) = selected_year) *(MONTH(Tracking[Effective Date]) = cc_month_number))</f>
        <v>0</v>
      </c>
      <c r="K101" s="105">
        <f ca="1">INDEX('Budget Planning'!$E:$FA, Savings_total_row,  MATCH(DATE(selected_year,cc_month_number,1), 'Budget Planning'!$E$9:$FA$9,0))</f>
        <v>2250</v>
      </c>
      <c r="L101" s="105">
        <f ca="1">cc_budget - cc_tracked</f>
        <v>2250</v>
      </c>
      <c r="M101" s="105">
        <f ca="1">cc_in_focus * cc_show_type * MIN(cc_tracked,cc_budget)</f>
        <v>0</v>
      </c>
      <c r="N101" s="105">
        <f ca="1">cc_in_focus * cc_show_type * cc_show_remaining_budget * IF(cc_delta&gt;0,cc_delta,0)</f>
        <v>0</v>
      </c>
      <c r="O101" s="105">
        <f ca="1">cc_in_focus * cc_show_type * IF(cc_delta&lt;0,ABS(cc_delta),0)</f>
        <v>0</v>
      </c>
      <c r="P101" s="105">
        <f ca="1">NOT(cc_in_focus) * cc_show_type * MIN(cc_tracked,cc_budget)</f>
        <v>0</v>
      </c>
      <c r="Q101" s="105">
        <f ca="1">NOT(cc_in_focus) * cc_show_type * cc_show_remaining_budget * IF(cc_delta&gt;0,cc_delta,0)</f>
        <v>2250</v>
      </c>
      <c r="R101" s="105">
        <f ca="1">NOT(cc_in_focus) * cc_show_type * IF(cc_delta&lt;0,ABS(cc_delta),0)</f>
        <v>0</v>
      </c>
    </row>
    <row r="102" spans="4:18" x14ac:dyDescent="0.25">
      <c r="D102" s="118"/>
      <c r="E102" s="103"/>
      <c r="F102" s="103"/>
      <c r="G102" s="103"/>
      <c r="H102" s="103"/>
      <c r="I102" s="103"/>
      <c r="J102" s="121"/>
      <c r="K102" s="121"/>
      <c r="L102" s="121"/>
      <c r="M102" s="103"/>
      <c r="N102" s="103"/>
      <c r="O102" s="103"/>
      <c r="P102" s="103"/>
      <c r="Q102" s="103"/>
      <c r="R102" s="103"/>
    </row>
  </sheetData>
  <mergeCells count="14">
    <mergeCell ref="D67:D70"/>
    <mergeCell ref="M53:O53"/>
    <mergeCell ref="P53:R53"/>
    <mergeCell ref="D55:D58"/>
    <mergeCell ref="D59:D62"/>
    <mergeCell ref="D63:D66"/>
    <mergeCell ref="D95:D98"/>
    <mergeCell ref="D99:D102"/>
    <mergeCell ref="D71:D74"/>
    <mergeCell ref="D75:D78"/>
    <mergeCell ref="D79:D82"/>
    <mergeCell ref="D83:D86"/>
    <mergeCell ref="D87:D90"/>
    <mergeCell ref="D91:D9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
  <sheetViews>
    <sheetView zoomScale="80" zoomScaleNormal="80" workbookViewId="0">
      <selection activeCell="P19" sqref="P19"/>
    </sheetView>
  </sheetViews>
  <sheetFormatPr defaultRowHeight="15" x14ac:dyDescent="0.25"/>
  <cols>
    <col min="1" max="1" width="3.28515625" customWidth="1"/>
    <col min="2" max="2" width="3.85546875" customWidth="1"/>
    <col min="3" max="3" width="16.28515625" customWidth="1"/>
    <col min="5" max="5" width="17.28515625" customWidth="1"/>
  </cols>
  <sheetData>
    <row r="1" spans="1:27" ht="7.5" customHeight="1" x14ac:dyDescent="0.25">
      <c r="A1" s="2"/>
      <c r="B1" s="2"/>
      <c r="C1" s="2"/>
      <c r="D1" s="2"/>
      <c r="E1" s="2"/>
      <c r="F1" s="2"/>
      <c r="G1" s="2"/>
      <c r="H1" s="2"/>
      <c r="I1" s="2"/>
      <c r="J1" s="2"/>
      <c r="K1" s="2"/>
      <c r="L1" s="2"/>
      <c r="M1" s="2"/>
      <c r="N1" s="2"/>
      <c r="O1" s="2"/>
      <c r="P1" s="2"/>
      <c r="Q1" s="2"/>
      <c r="R1" s="2"/>
      <c r="S1" s="2"/>
      <c r="T1" s="2"/>
      <c r="U1" s="2"/>
      <c r="V1" s="2"/>
      <c r="W1" s="2"/>
      <c r="X1" s="2"/>
      <c r="Y1" s="2"/>
      <c r="Z1" s="2"/>
      <c r="AA1" s="2"/>
    </row>
    <row r="2" spans="1:27" ht="21" x14ac:dyDescent="0.35">
      <c r="A2" s="2"/>
      <c r="B2" s="2"/>
      <c r="C2" s="4" t="s">
        <v>4</v>
      </c>
      <c r="D2" s="2"/>
      <c r="E2" s="2"/>
      <c r="F2" s="2"/>
      <c r="G2" s="2"/>
      <c r="H2" s="2"/>
      <c r="I2" s="2"/>
      <c r="J2" s="2"/>
      <c r="K2" s="2"/>
      <c r="L2" s="2"/>
      <c r="M2" s="2"/>
      <c r="N2" s="2"/>
      <c r="O2" s="2"/>
      <c r="P2" s="2"/>
      <c r="Q2" s="2"/>
      <c r="R2" s="2"/>
      <c r="S2" s="2"/>
      <c r="T2" s="2"/>
      <c r="U2" s="2"/>
      <c r="V2" s="2"/>
      <c r="W2" s="2"/>
      <c r="X2" s="2"/>
      <c r="Y2" s="2"/>
      <c r="Z2" s="2"/>
      <c r="AA2" s="2"/>
    </row>
    <row r="3" spans="1:27" ht="9" customHeight="1" x14ac:dyDescent="0.25">
      <c r="A3" s="1"/>
      <c r="B3" s="1"/>
      <c r="C3" s="1"/>
      <c r="D3" s="1"/>
      <c r="E3" s="1"/>
      <c r="F3" s="1"/>
      <c r="G3" s="1"/>
      <c r="H3" s="1"/>
      <c r="I3" s="1"/>
      <c r="J3" s="1"/>
      <c r="K3" s="1"/>
      <c r="L3" s="1"/>
      <c r="M3" s="1"/>
      <c r="N3" s="1"/>
      <c r="O3" s="1"/>
      <c r="P3" s="1"/>
      <c r="Q3" s="1"/>
      <c r="R3" s="1"/>
      <c r="S3" s="1"/>
      <c r="T3" s="1"/>
      <c r="U3" s="1"/>
      <c r="V3" s="1"/>
      <c r="W3" s="1"/>
      <c r="X3" s="1"/>
      <c r="Y3" s="1"/>
      <c r="Z3" s="1"/>
      <c r="AA3" s="1"/>
    </row>
    <row r="7" spans="1:27" x14ac:dyDescent="0.25">
      <c r="C7" s="58" t="s">
        <v>63</v>
      </c>
      <c r="E7" s="58" t="s">
        <v>65</v>
      </c>
    </row>
    <row r="8" spans="1:27" x14ac:dyDescent="0.25">
      <c r="C8" s="59" t="s">
        <v>64</v>
      </c>
      <c r="E8" s="59" t="s">
        <v>66</v>
      </c>
    </row>
    <row r="9" spans="1:27" x14ac:dyDescent="0.25">
      <c r="C9" s="59">
        <f>starting_year</f>
        <v>2022</v>
      </c>
      <c r="E9" s="59" t="s">
        <v>67</v>
      </c>
    </row>
    <row r="10" spans="1:27" x14ac:dyDescent="0.25">
      <c r="C10" s="59">
        <f>C9+1</f>
        <v>2023</v>
      </c>
      <c r="E10" s="61">
        <v>36526</v>
      </c>
    </row>
    <row r="11" spans="1:27" x14ac:dyDescent="0.25">
      <c r="C11" s="59">
        <f t="shared" ref="C11:C18" si="0">C10+1</f>
        <v>2024</v>
      </c>
      <c r="E11" s="61">
        <v>36557</v>
      </c>
    </row>
    <row r="12" spans="1:27" x14ac:dyDescent="0.25">
      <c r="C12" s="59">
        <f t="shared" si="0"/>
        <v>2025</v>
      </c>
      <c r="E12" s="61">
        <v>36586</v>
      </c>
    </row>
    <row r="13" spans="1:27" x14ac:dyDescent="0.25">
      <c r="C13" s="59">
        <f t="shared" si="0"/>
        <v>2026</v>
      </c>
      <c r="E13" s="61">
        <v>36617</v>
      </c>
    </row>
    <row r="14" spans="1:27" x14ac:dyDescent="0.25">
      <c r="C14" s="59">
        <f t="shared" si="0"/>
        <v>2027</v>
      </c>
      <c r="E14" s="61">
        <v>36647</v>
      </c>
    </row>
    <row r="15" spans="1:27" x14ac:dyDescent="0.25">
      <c r="C15" s="59">
        <f t="shared" si="0"/>
        <v>2028</v>
      </c>
      <c r="E15" s="61">
        <v>36678</v>
      </c>
    </row>
    <row r="16" spans="1:27" x14ac:dyDescent="0.25">
      <c r="C16" s="59">
        <f t="shared" si="0"/>
        <v>2029</v>
      </c>
      <c r="E16" s="61">
        <v>36708</v>
      </c>
    </row>
    <row r="17" spans="3:5" x14ac:dyDescent="0.25">
      <c r="C17" s="59">
        <f t="shared" si="0"/>
        <v>2030</v>
      </c>
      <c r="E17" s="61">
        <v>36739</v>
      </c>
    </row>
    <row r="18" spans="3:5" x14ac:dyDescent="0.25">
      <c r="C18" s="60">
        <f t="shared" si="0"/>
        <v>2031</v>
      </c>
      <c r="E18" s="61">
        <v>36770</v>
      </c>
    </row>
    <row r="19" spans="3:5" x14ac:dyDescent="0.25">
      <c r="E19" s="61">
        <v>36800</v>
      </c>
    </row>
    <row r="20" spans="3:5" x14ac:dyDescent="0.25">
      <c r="E20" s="61">
        <v>36831</v>
      </c>
    </row>
    <row r="21" spans="3:5" x14ac:dyDescent="0.25">
      <c r="E21" s="62">
        <v>36861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Settings</vt:lpstr>
      <vt:lpstr>Budget Planning</vt:lpstr>
      <vt:lpstr>Budget Tracking</vt:lpstr>
      <vt:lpstr>Budget Dashboard</vt:lpstr>
      <vt:lpstr>Calculations</vt:lpstr>
      <vt:lpstr>Drop 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Dashboard'!items</vt:lpstr>
      <vt:lpstr>'Budget Dashboard'!out_budget</vt:lpstr>
      <vt:lpstr>'Budget Dashboard'!out_percentage_completed</vt:lpstr>
      <vt:lpstr>'Budget Dashboard'!out_tracked</vt:lpstr>
      <vt:lpstr>'Budget Dashboard'!Print_Area</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2025-02-07T15:04:29Z</cp:lastPrinted>
  <dcterms:created xsi:type="dcterms:W3CDTF">2025-01-27T14:24:26Z</dcterms:created>
  <dcterms:modified xsi:type="dcterms:W3CDTF">2025-02-07T15:22:00Z</dcterms:modified>
</cp:coreProperties>
</file>